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2_tutos\qualité des données\Documents à donner\"/>
    </mc:Choice>
  </mc:AlternateContent>
  <bookViews>
    <workbookView xWindow="0" yWindow="0" windowWidth="10040" windowHeight="4200" tabRatio="722" activeTab="1" xr2:uid="{00000000-000D-0000-FFFF-FFFF00000000}"/>
  </bookViews>
  <sheets>
    <sheet name="Guide" sheetId="4" r:id="rId1"/>
    <sheet name="Tableau de bord" sheetId="8" r:id="rId2"/>
    <sheet name="Données clés" sheetId="6" r:id="rId3"/>
    <sheet name="Paramètres" sheetId="5" r:id="rId4"/>
  </sheets>
  <definedNames>
    <definedName name="Fluxdetrésorerieannuelàcejour">#REF!-#REF!-#REF!-#REF!</definedName>
    <definedName name="Fluxdetrésoreriemensuelàcejour">#REF!</definedName>
    <definedName name="Fluxdetrésoreriequotidien">SUM(#REF!)</definedName>
  </definedNames>
  <calcPr calcId="171027"/>
</workbook>
</file>

<file path=xl/calcChain.xml><?xml version="1.0" encoding="utf-8"?>
<calcChain xmlns="http://schemas.openxmlformats.org/spreadsheetml/2006/main">
  <c r="O7" i="6" l="1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F15" i="8" l="1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E7" i="6" l="1"/>
  <c r="E8" i="6"/>
  <c r="E9" i="6"/>
  <c r="P9" i="6" s="1"/>
  <c r="E10" i="6"/>
  <c r="P10" i="6" s="1"/>
  <c r="E11" i="6"/>
  <c r="P11" i="6" s="1"/>
  <c r="E12" i="6"/>
  <c r="P12" i="6" s="1"/>
  <c r="E13" i="6"/>
  <c r="P13" i="6" s="1"/>
  <c r="E14" i="6"/>
  <c r="P14" i="6" s="1"/>
  <c r="E15" i="6"/>
  <c r="P15" i="6" s="1"/>
  <c r="E16" i="6"/>
  <c r="P16" i="6" s="1"/>
  <c r="E17" i="6"/>
  <c r="P17" i="6" s="1"/>
  <c r="E18" i="6"/>
  <c r="P18" i="6" s="1"/>
  <c r="E19" i="6"/>
  <c r="P19" i="6" s="1"/>
  <c r="E20" i="6"/>
  <c r="P20" i="6" s="1"/>
  <c r="E21" i="6"/>
  <c r="P21" i="6" s="1"/>
  <c r="E22" i="6"/>
  <c r="P22" i="6" s="1"/>
  <c r="E23" i="6"/>
  <c r="P23" i="6" s="1"/>
  <c r="E24" i="6"/>
  <c r="P24" i="6" s="1"/>
  <c r="E25" i="6"/>
  <c r="P25" i="6" s="1"/>
  <c r="E26" i="6"/>
  <c r="P26" i="6" s="1"/>
  <c r="E27" i="6"/>
  <c r="P27" i="6" s="1"/>
  <c r="E28" i="6"/>
  <c r="P28" i="6" s="1"/>
  <c r="E29" i="6"/>
  <c r="P29" i="6" s="1"/>
  <c r="E30" i="6"/>
  <c r="P30" i="6" s="1"/>
  <c r="E31" i="6"/>
  <c r="P31" i="6" s="1"/>
  <c r="E32" i="6"/>
  <c r="P32" i="6" s="1"/>
  <c r="E33" i="6"/>
  <c r="P33" i="6" s="1"/>
  <c r="E34" i="6"/>
  <c r="P34" i="6" s="1"/>
  <c r="E35" i="6"/>
  <c r="P35" i="6" s="1"/>
  <c r="E36" i="6"/>
  <c r="P36" i="6" s="1"/>
  <c r="E37" i="6"/>
  <c r="P37" i="6" s="1"/>
  <c r="E38" i="6"/>
  <c r="P38" i="6" s="1"/>
  <c r="E39" i="6"/>
  <c r="P39" i="6" s="1"/>
  <c r="E40" i="6"/>
  <c r="P40" i="6" s="1"/>
  <c r="E41" i="6"/>
  <c r="P41" i="6" s="1"/>
  <c r="E42" i="6"/>
  <c r="P42" i="6" s="1"/>
  <c r="E43" i="6"/>
  <c r="P43" i="6" s="1"/>
  <c r="E44" i="6"/>
  <c r="P44" i="6" s="1"/>
  <c r="E45" i="6"/>
  <c r="P45" i="6" s="1"/>
  <c r="F6" i="8"/>
  <c r="F12" i="8" l="1"/>
  <c r="P7" i="6"/>
  <c r="F11" i="8"/>
  <c r="P8" i="6"/>
  <c r="F14" i="8"/>
  <c r="F13" i="8"/>
  <c r="F4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9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1" i="8"/>
  <c r="H14" i="8"/>
  <c r="I14" i="8"/>
  <c r="H15" i="8"/>
  <c r="I15" i="8"/>
  <c r="H16" i="8"/>
  <c r="I16" i="8"/>
  <c r="H17" i="8"/>
  <c r="I17" i="8"/>
  <c r="H18" i="8"/>
  <c r="I18" i="8"/>
  <c r="H19" i="8"/>
  <c r="I19" i="8"/>
  <c r="H20" i="8"/>
  <c r="I20" i="8"/>
  <c r="H21" i="8"/>
  <c r="I21" i="8"/>
  <c r="H22" i="8"/>
  <c r="I22" i="8"/>
  <c r="H23" i="8"/>
  <c r="I23" i="8"/>
  <c r="H24" i="8"/>
  <c r="I24" i="8"/>
  <c r="H25" i="8"/>
  <c r="I25" i="8"/>
  <c r="H26" i="8"/>
  <c r="I26" i="8"/>
  <c r="H27" i="8"/>
  <c r="I27" i="8"/>
  <c r="H28" i="8"/>
  <c r="I28" i="8"/>
  <c r="H29" i="8"/>
  <c r="I29" i="8"/>
  <c r="H30" i="8"/>
  <c r="I30" i="8"/>
  <c r="H31" i="8"/>
  <c r="I31" i="8"/>
  <c r="H32" i="8"/>
  <c r="I32" i="8"/>
  <c r="H33" i="8"/>
  <c r="I33" i="8"/>
  <c r="H34" i="8"/>
  <c r="I34" i="8"/>
  <c r="H35" i="8"/>
  <c r="I35" i="8"/>
  <c r="H36" i="8"/>
  <c r="I36" i="8"/>
  <c r="H37" i="8"/>
  <c r="I37" i="8"/>
  <c r="H38" i="8"/>
  <c r="I38" i="8"/>
  <c r="H39" i="8"/>
  <c r="I39" i="8"/>
  <c r="H40" i="8"/>
  <c r="I40" i="8"/>
  <c r="H41" i="8"/>
  <c r="I41" i="8"/>
  <c r="H42" i="8"/>
  <c r="I42" i="8"/>
  <c r="H43" i="8"/>
  <c r="I43" i="8"/>
  <c r="H44" i="8"/>
  <c r="I44" i="8"/>
  <c r="H45" i="8"/>
  <c r="I45" i="8"/>
  <c r="H46" i="8"/>
  <c r="I46" i="8"/>
  <c r="H47" i="8"/>
  <c r="I47" i="8"/>
  <c r="H48" i="8"/>
  <c r="I48" i="8"/>
  <c r="H49" i="8"/>
  <c r="I49" i="8"/>
  <c r="H50" i="8"/>
  <c r="I50" i="8"/>
  <c r="H51" i="8"/>
  <c r="I51" i="8"/>
  <c r="H52" i="8"/>
  <c r="I52" i="8"/>
  <c r="H53" i="8"/>
  <c r="I53" i="8"/>
  <c r="H54" i="8"/>
  <c r="I54" i="8"/>
  <c r="H55" i="8"/>
  <c r="I55" i="8"/>
  <c r="H56" i="8"/>
  <c r="I56" i="8"/>
  <c r="H57" i="8"/>
  <c r="I57" i="8"/>
  <c r="H58" i="8"/>
  <c r="I58" i="8"/>
  <c r="H59" i="8"/>
  <c r="I59" i="8"/>
  <c r="H60" i="8"/>
  <c r="I60" i="8"/>
  <c r="H61" i="8"/>
  <c r="I61" i="8"/>
  <c r="H62" i="8"/>
  <c r="I62" i="8"/>
  <c r="H63" i="8"/>
  <c r="I63" i="8"/>
  <c r="H64" i="8"/>
  <c r="I64" i="8"/>
  <c r="H65" i="8"/>
  <c r="I65" i="8"/>
  <c r="H66" i="8"/>
  <c r="I66" i="8"/>
  <c r="H67" i="8"/>
  <c r="I67" i="8"/>
  <c r="H68" i="8"/>
  <c r="I68" i="8"/>
  <c r="H69" i="8"/>
  <c r="I69" i="8"/>
  <c r="H70" i="8"/>
  <c r="I70" i="8"/>
  <c r="H71" i="8"/>
  <c r="I71" i="8"/>
  <c r="H72" i="8"/>
  <c r="I72" i="8"/>
  <c r="H73" i="8"/>
  <c r="I73" i="8"/>
  <c r="H74" i="8"/>
  <c r="I74" i="8"/>
  <c r="H75" i="8"/>
  <c r="I75" i="8"/>
  <c r="H76" i="8"/>
  <c r="I76" i="8"/>
  <c r="H77" i="8"/>
  <c r="I77" i="8"/>
  <c r="H78" i="8"/>
  <c r="I78" i="8"/>
  <c r="H79" i="8"/>
  <c r="I79" i="8"/>
  <c r="H80" i="8"/>
  <c r="I80" i="8"/>
  <c r="H81" i="8"/>
  <c r="I81" i="8"/>
  <c r="H82" i="8"/>
  <c r="I82" i="8"/>
  <c r="H83" i="8"/>
  <c r="I83" i="8"/>
  <c r="H84" i="8"/>
  <c r="I84" i="8"/>
  <c r="H85" i="8"/>
  <c r="I85" i="8"/>
  <c r="H86" i="8"/>
  <c r="I86" i="8"/>
  <c r="H87" i="8"/>
  <c r="I87" i="8"/>
  <c r="H88" i="8"/>
  <c r="I88" i="8"/>
  <c r="H89" i="8"/>
  <c r="I89" i="8"/>
  <c r="H90" i="8"/>
  <c r="I90" i="8"/>
  <c r="H91" i="8"/>
  <c r="I91" i="8"/>
  <c r="H92" i="8"/>
  <c r="I92" i="8"/>
  <c r="H93" i="8"/>
  <c r="I93" i="8"/>
  <c r="H94" i="8"/>
  <c r="I94" i="8"/>
  <c r="H95" i="8"/>
  <c r="I95" i="8"/>
  <c r="H96" i="8"/>
  <c r="I96" i="8"/>
  <c r="H97" i="8"/>
  <c r="I97" i="8"/>
  <c r="H98" i="8"/>
  <c r="I98" i="8"/>
  <c r="H99" i="8"/>
  <c r="I99" i="8"/>
  <c r="H100" i="8"/>
  <c r="I100" i="8"/>
  <c r="H101" i="8"/>
  <c r="I101" i="8"/>
  <c r="H102" i="8"/>
  <c r="I102" i="8"/>
  <c r="H103" i="8"/>
  <c r="I103" i="8"/>
  <c r="H104" i="8"/>
  <c r="I104" i="8"/>
  <c r="H105" i="8"/>
  <c r="I105" i="8"/>
  <c r="H106" i="8"/>
  <c r="I106" i="8"/>
  <c r="H107" i="8"/>
  <c r="I107" i="8"/>
  <c r="H108" i="8"/>
  <c r="I108" i="8"/>
  <c r="H109" i="8"/>
  <c r="I109" i="8"/>
  <c r="H110" i="8"/>
  <c r="I110" i="8"/>
  <c r="H111" i="8"/>
  <c r="I111" i="8"/>
  <c r="H112" i="8"/>
  <c r="I112" i="8"/>
  <c r="H113" i="8"/>
  <c r="I113" i="8"/>
  <c r="H114" i="8"/>
  <c r="I114" i="8"/>
  <c r="H115" i="8"/>
  <c r="I115" i="8"/>
  <c r="H116" i="8"/>
  <c r="I116" i="8"/>
  <c r="H117" i="8"/>
  <c r="I117" i="8"/>
  <c r="H118" i="8"/>
  <c r="I118" i="8"/>
  <c r="H119" i="8"/>
  <c r="I119" i="8"/>
  <c r="H120" i="8"/>
  <c r="I120" i="8"/>
  <c r="H121" i="8"/>
  <c r="I121" i="8"/>
  <c r="H122" i="8"/>
  <c r="I122" i="8"/>
  <c r="H123" i="8"/>
  <c r="I123" i="8"/>
  <c r="H124" i="8"/>
  <c r="I124" i="8"/>
  <c r="H125" i="8"/>
  <c r="I125" i="8"/>
  <c r="H126" i="8"/>
  <c r="I126" i="8"/>
  <c r="H127" i="8"/>
  <c r="I127" i="8"/>
  <c r="H128" i="8"/>
  <c r="I128" i="8"/>
  <c r="H129" i="8"/>
  <c r="I129" i="8"/>
  <c r="H130" i="8"/>
  <c r="I130" i="8"/>
  <c r="H131" i="8"/>
  <c r="I131" i="8"/>
  <c r="H132" i="8"/>
  <c r="I132" i="8"/>
  <c r="H133" i="8"/>
  <c r="I133" i="8"/>
  <c r="H13" i="8" l="1"/>
  <c r="I13" i="8"/>
  <c r="H11" i="8"/>
  <c r="I11" i="8"/>
  <c r="H12" i="8" l="1"/>
  <c r="I1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Auteur</author>
  </authors>
  <commentList>
    <comment ref="D9" authorId="0" shapeId="0" xr:uid="{D2FCA02D-6601-4791-B3E2-4F4D3A248C11}">
      <text>
        <r>
          <rPr>
            <b/>
            <sz val="9"/>
            <color indexed="81"/>
            <rFont val="Tahoma"/>
            <family val="2"/>
          </rPr>
          <t>Moyenne du score de tous les champs dont et indicateur dépend.</t>
        </r>
      </text>
    </comment>
    <comment ref="F9" authorId="0" shapeId="0" xr:uid="{1D96A556-1230-415B-93AC-7584AB6668A4}">
      <text>
        <r>
          <rPr>
            <b/>
            <sz val="9"/>
            <color indexed="81"/>
            <rFont val="Tahoma"/>
            <family val="2"/>
          </rPr>
          <t>Moyenne du score de tous les champs dont et indicateur dépend.</t>
        </r>
      </text>
    </comment>
    <comment ref="H9" authorId="0" shapeId="0" xr:uid="{91A7A033-5372-47E2-8C7B-5841070D79FA}">
      <text>
        <r>
          <rPr>
            <b/>
            <sz val="9"/>
            <color indexed="81"/>
            <rFont val="Tahoma"/>
            <family val="2"/>
          </rPr>
          <t xml:space="preserve">Nombre de champs pour lequel le score est supérieur au seuil de tolérance défini.
</t>
        </r>
      </text>
    </comment>
    <comment ref="I9" authorId="0" shapeId="0" xr:uid="{093D14E2-467C-46AE-8A27-EA691EE0BFBC}">
      <text>
        <r>
          <rPr>
            <b/>
            <sz val="9"/>
            <color indexed="81"/>
            <rFont val="Tahoma"/>
            <family val="2"/>
          </rPr>
          <t>Nombre de champs pour lequel le score est inférieur au seuil de tolérance défini.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Christelle Gaudron</author>
  </authors>
  <commentList>
    <comment ref="F6" authorId="0" shapeId="0" xr:uid="{70BB94B0-E8AA-4227-8274-F6251ED70843}">
      <text>
        <r>
          <rPr>
            <b/>
            <sz val="9"/>
            <color indexed="81"/>
            <rFont val="Tahoma"/>
            <family val="2"/>
          </rPr>
          <t>=NB.VAL(zone à tester)/NBVAL(zone jamais vide)</t>
        </r>
      </text>
    </comment>
    <comment ref="I6" authorId="0" shapeId="0" xr:uid="{6410C887-932F-4D73-B433-09C73C463FDB}">
      <text>
        <r>
          <rPr>
            <b/>
            <sz val="9"/>
            <color indexed="81"/>
            <rFont val="Tahoma"/>
            <family val="2"/>
          </rPr>
          <t>Pour chaque ligne de la table à tester :
=SI(NON(ESTERREUR(RECHERCHEV(cellule testée;colonne résultat;1;FAUX)));"ok";"nok")</t>
        </r>
      </text>
    </comment>
  </commentList>
</comments>
</file>

<file path=xl/sharedStrings.xml><?xml version="1.0" encoding="utf-8"?>
<sst xmlns="http://schemas.openxmlformats.org/spreadsheetml/2006/main" count="46" uniqueCount="41">
  <si>
    <t>Notes</t>
  </si>
  <si>
    <t>CONTRÔLE QUALITE DES DONNEES</t>
  </si>
  <si>
    <t>Paramétrage</t>
  </si>
  <si>
    <t>degré de pertinence</t>
  </si>
  <si>
    <t>Corrélation prouvée</t>
  </si>
  <si>
    <t>Corrélation à étudier</t>
  </si>
  <si>
    <t>Pas de corrélation</t>
  </si>
  <si>
    <t>Tableau de bord</t>
  </si>
  <si>
    <t>Nombre de champs contrôlés</t>
  </si>
  <si>
    <t>Score</t>
  </si>
  <si>
    <t>Remplissage automatique</t>
  </si>
  <si>
    <t>A remplir</t>
  </si>
  <si>
    <t>Données clés</t>
  </si>
  <si>
    <t>Consignez les détails de vos contrôles qualité.</t>
  </si>
  <si>
    <r>
      <rPr>
        <b/>
        <sz val="12"/>
        <color theme="4" tint="-0.249977111117893"/>
        <rFont val="Calibri"/>
        <family val="2"/>
        <scheme val="minor"/>
      </rPr>
      <t xml:space="preserve">1) </t>
    </r>
    <r>
      <rPr>
        <b/>
        <sz val="12"/>
        <color theme="3" tint="0.24994659260841701"/>
        <rFont val="Calibri"/>
        <family val="2"/>
        <scheme val="minor"/>
      </rPr>
      <t>Nom de la table</t>
    </r>
  </si>
  <si>
    <r>
      <rPr>
        <b/>
        <sz val="12"/>
        <color theme="4" tint="-0.249977111117893"/>
        <rFont val="Calibri"/>
        <family val="2"/>
        <scheme val="minor"/>
      </rPr>
      <t>1)</t>
    </r>
    <r>
      <rPr>
        <b/>
        <sz val="12"/>
        <color theme="3" tint="0.24994659260841701"/>
        <rFont val="Calibri"/>
        <family val="2"/>
        <scheme val="minor"/>
      </rPr>
      <t xml:space="preserve"> Nom du champs</t>
    </r>
  </si>
  <si>
    <t>Status des champs</t>
  </si>
  <si>
    <t>OK</t>
  </si>
  <si>
    <t>NOK</t>
  </si>
  <si>
    <t>Respect tolérance?</t>
  </si>
  <si>
    <t>Nb de champs dépendants</t>
  </si>
  <si>
    <t>Disposez d'une vue d'ensemble des indices de confiance de vos indicateurs.</t>
  </si>
  <si>
    <r>
      <rPr>
        <b/>
        <sz val="10"/>
        <color theme="4" tint="-0.249977111117893"/>
        <rFont val="Calibri"/>
        <family val="2"/>
        <scheme val="minor"/>
      </rPr>
      <t>2)</t>
    </r>
    <r>
      <rPr>
        <b/>
        <sz val="10"/>
        <color theme="3" tint="0.24994659260841701"/>
        <rFont val="Calibri"/>
        <family val="2"/>
        <scheme val="minor"/>
      </rPr>
      <t xml:space="preserve"> Taux de fiabilité</t>
    </r>
  </si>
  <si>
    <r>
      <rPr>
        <b/>
        <sz val="10"/>
        <color theme="4" tint="-0.249977111117893"/>
        <rFont val="Calibri"/>
        <family val="2"/>
        <scheme val="minor"/>
      </rPr>
      <t xml:space="preserve">2) </t>
    </r>
    <r>
      <rPr>
        <b/>
        <sz val="10"/>
        <color theme="3" tint="0.24994659260841701"/>
        <rFont val="Calibri"/>
        <family val="2"/>
        <scheme val="minor"/>
      </rPr>
      <t>Qualité des relations</t>
    </r>
  </si>
  <si>
    <r>
      <rPr>
        <b/>
        <sz val="10"/>
        <color theme="4" tint="-0.249977111117893"/>
        <rFont val="Calibri"/>
        <family val="2"/>
        <scheme val="minor"/>
      </rPr>
      <t>2)</t>
    </r>
    <r>
      <rPr>
        <b/>
        <sz val="10"/>
        <color theme="3" tint="0.24994659260841701"/>
        <rFont val="Calibri"/>
        <family val="2"/>
        <scheme val="minor"/>
      </rPr>
      <t xml:space="preserve"> Taux de couverture</t>
    </r>
  </si>
  <si>
    <r>
      <rPr>
        <b/>
        <sz val="10"/>
        <color theme="4" tint="-0.249977111117893"/>
        <rFont val="Calibri"/>
        <family val="2"/>
        <scheme val="minor"/>
      </rPr>
      <t xml:space="preserve">3) </t>
    </r>
    <r>
      <rPr>
        <b/>
        <sz val="10"/>
        <color theme="3" tint="0.24994659260841701"/>
        <rFont val="Calibri"/>
        <family val="2"/>
        <scheme val="minor"/>
      </rPr>
      <t>Taux de non vides</t>
    </r>
  </si>
  <si>
    <r>
      <rPr>
        <b/>
        <sz val="10"/>
        <color theme="4" tint="-0.249977111117893"/>
        <rFont val="Calibri"/>
        <family val="2"/>
        <scheme val="minor"/>
      </rPr>
      <t>3)</t>
    </r>
    <r>
      <rPr>
        <b/>
        <sz val="10"/>
        <color theme="3" tint="0.24994659260841701"/>
        <rFont val="Calibri"/>
        <family val="2"/>
        <scheme val="minor"/>
      </rPr>
      <t xml:space="preserve"> Taux de couverture2</t>
    </r>
  </si>
  <si>
    <r>
      <rPr>
        <b/>
        <sz val="10"/>
        <color theme="4" tint="-0.249977111117893"/>
        <rFont val="Calibri"/>
        <family val="2"/>
        <scheme val="minor"/>
      </rPr>
      <t>3)</t>
    </r>
    <r>
      <rPr>
        <b/>
        <sz val="10"/>
        <color theme="3" tint="0.24994659260841701"/>
        <rFont val="Calibri"/>
        <family val="2"/>
        <scheme val="minor"/>
      </rPr>
      <t xml:space="preserve"> Taux de fiabilité</t>
    </r>
  </si>
  <si>
    <r>
      <rPr>
        <b/>
        <sz val="10"/>
        <color theme="4" tint="-0.249977111117893"/>
        <rFont val="Calibri"/>
        <family val="2"/>
        <scheme val="minor"/>
      </rPr>
      <t>3)</t>
    </r>
    <r>
      <rPr>
        <b/>
        <sz val="10"/>
        <color theme="3" tint="0.24994659260841701"/>
        <rFont val="Calibri"/>
        <family val="2"/>
        <scheme val="minor"/>
      </rPr>
      <t xml:space="preserve"> Qualité des relations</t>
    </r>
  </si>
  <si>
    <r>
      <rPr>
        <sz val="16"/>
        <color theme="4" tint="-0.249977111117893"/>
        <rFont val="Calibri"/>
        <family val="2"/>
        <scheme val="minor"/>
      </rPr>
      <t>4)</t>
    </r>
    <r>
      <rPr>
        <sz val="16"/>
        <color theme="5" tint="-0.249977111117893"/>
        <rFont val="Calibri"/>
        <family val="2"/>
        <scheme val="minor"/>
      </rPr>
      <t xml:space="preserve"> Score</t>
    </r>
  </si>
  <si>
    <t>1) Données à contrôler</t>
  </si>
  <si>
    <t>3) Contrôles</t>
  </si>
  <si>
    <t>1) information</t>
  </si>
  <si>
    <r>
      <rPr>
        <b/>
        <sz val="24"/>
        <color theme="4"/>
        <rFont val="Calibri"/>
        <family val="2"/>
        <scheme val="major"/>
      </rPr>
      <t>2)</t>
    </r>
    <r>
      <rPr>
        <b/>
        <sz val="24"/>
        <color theme="5" tint="-0.24994659260841701"/>
        <rFont val="Calibri"/>
        <family val="2"/>
        <scheme val="major"/>
      </rPr>
      <t xml:space="preserve"> Seuil de tolérance</t>
    </r>
  </si>
  <si>
    <t>Informations</t>
  </si>
  <si>
    <t>Nombre d'informations contrôlées</t>
  </si>
  <si>
    <t>2) Paramètres</t>
  </si>
  <si>
    <t>objectif</t>
  </si>
  <si>
    <r>
      <rPr>
        <b/>
        <sz val="10"/>
        <color theme="4" tint="-0.249977111117893"/>
        <rFont val="Calibri"/>
        <family val="2"/>
        <scheme val="minor"/>
      </rPr>
      <t>2)</t>
    </r>
    <r>
      <rPr>
        <b/>
        <sz val="10"/>
        <color theme="3" tint="0.24994659260841701"/>
        <rFont val="Calibri"/>
        <family val="2"/>
        <scheme val="minor"/>
      </rPr>
      <t xml:space="preserve"> Taux de non vides</t>
    </r>
  </si>
  <si>
    <r>
      <t xml:space="preserve">Pour chaque information générée dans votre reporting :
</t>
    </r>
    <r>
      <rPr>
        <sz val="12"/>
        <color theme="4" tint="-0.249977111117893"/>
        <rFont val="Calibri"/>
        <family val="2"/>
        <scheme val="minor"/>
      </rPr>
      <t>1) listez les données sur lesquels ils s'appuient (nom de la table + nom du champs)
2) déterminez les paramètres de contrôle : seuil de tolérance et poids des 4 critères.
3) Réalisez les contrôles Qualité et notez les résultats. 
4) Le score est calculé pour chaque donnée clés selon 2) et 3).</t>
    </r>
  </si>
  <si>
    <t>à renseigner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</si>
</sst>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\ _€_-;\-* #,##0.00\ _€_-;_-* &quot;-&quot;??\ _€_-;_-@_-"/>
    <numFmt numFmtId="164" formatCode="_)@"/>
    <numFmt numFmtId="165" formatCode="#,##0.00\ &quot;€&quot;"/>
    <numFmt numFmtId="166" formatCode="_-* #,##0\ _€_-;\-* #,##0\ _€_-;_-* &quot;-&quot;??\ _€_-;_-@_-"/>
    <numFmt numFmtId="168" formatCode="0.0%"/>
  </numFmts>
  <fonts count="30" x14ac:knownFonts="1">
    <font>
      <sz val="10"/>
      <name val="Calibri"/>
      <family val="2"/>
      <scheme val="minor"/>
    </font>
    <font>
      <b/>
      <sz val="14"/>
      <color theme="0"/>
      <name val="Calibri"/>
      <family val="2"/>
      <scheme val="major"/>
    </font>
    <font>
      <b/>
      <sz val="16"/>
      <color theme="3" tint="0.749961851863155"/>
      <name val="Calibri"/>
      <family val="2"/>
      <scheme val="minor"/>
    </font>
    <font>
      <b/>
      <sz val="24"/>
      <color theme="5" tint="-0.24994659260841701"/>
      <name val="Calibri"/>
      <family val="2"/>
      <scheme val="major"/>
    </font>
    <font>
      <b/>
      <sz val="14"/>
      <color theme="3" tint="0.24994659260841701"/>
      <name val="Calibri"/>
      <family val="2"/>
      <scheme val="major"/>
    </font>
    <font>
      <b/>
      <sz val="11"/>
      <color theme="3" tint="0.24994659260841701"/>
      <name val="Calibri"/>
      <family val="2"/>
      <scheme val="major"/>
    </font>
    <font>
      <b/>
      <sz val="12"/>
      <color theme="3" tint="0.24994659260841701"/>
      <name val="Calibri"/>
      <family val="2"/>
      <scheme val="major"/>
    </font>
    <font>
      <sz val="36"/>
      <color theme="3" tint="0.24994659260841701"/>
      <name val="Calibri"/>
      <family val="2"/>
      <scheme val="major"/>
    </font>
    <font>
      <b/>
      <sz val="10"/>
      <color theme="3" tint="0.24994659260841701"/>
      <name val="Calibri"/>
      <family val="2"/>
      <scheme val="minor"/>
    </font>
    <font>
      <sz val="10"/>
      <name val="Calibri"/>
      <family val="2"/>
      <scheme val="minor"/>
    </font>
    <font>
      <b/>
      <sz val="12"/>
      <color theme="3" tint="0.24994659260841701"/>
      <name val="Calibri"/>
      <family val="2"/>
      <scheme val="minor"/>
    </font>
    <font>
      <sz val="12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2"/>
      <color theme="3" tint="0.2499465926084170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6"/>
      <color rgb="FF002060"/>
      <name val="Calibri"/>
      <family val="2"/>
      <scheme val="minor"/>
    </font>
    <font>
      <sz val="16"/>
      <color theme="5" tint="-0.249977111117893"/>
      <name val="Calibri"/>
      <family val="2"/>
      <scheme val="minor"/>
    </font>
    <font>
      <sz val="12"/>
      <color theme="3" tint="0.499984740745262"/>
      <name val="Calibri"/>
      <family val="2"/>
      <scheme val="minor"/>
    </font>
    <font>
      <sz val="16"/>
      <color theme="4" tint="-0.249977111117893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22"/>
      <name val="Calibri"/>
      <family val="2"/>
      <scheme val="minor"/>
    </font>
    <font>
      <sz val="24"/>
      <color theme="5" tint="-0.24994659260841701"/>
      <name val="Calibri"/>
      <family val="2"/>
      <scheme val="major"/>
    </font>
    <font>
      <b/>
      <sz val="18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2"/>
      <color rgb="FF002060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24"/>
      <color theme="4"/>
      <name val="Calibri"/>
      <family val="2"/>
      <scheme val="major"/>
    </font>
    <font>
      <sz val="2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2499465926084170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74996185186315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theme="2"/>
      </patternFill>
    </fill>
    <fill>
      <patternFill patternType="solid">
        <fgColor theme="2"/>
        <bgColor theme="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theme="2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3" tint="0.749961851863155"/>
      </bottom>
      <diagonal/>
    </border>
    <border>
      <left/>
      <right/>
      <top/>
      <bottom style="dashed">
        <color theme="3" tint="0.499984740745262"/>
      </bottom>
      <diagonal/>
    </border>
    <border>
      <left/>
      <right/>
      <top/>
      <bottom style="thin">
        <color theme="3" tint="0.24994659260841701"/>
      </bottom>
      <diagonal/>
    </border>
    <border>
      <left/>
      <right/>
      <top/>
      <bottom style="medium">
        <color theme="3" tint="0.24994659260841701"/>
      </bottom>
      <diagonal/>
    </border>
    <border>
      <left/>
      <right style="thick">
        <color theme="4" tint="-0.499984740745262"/>
      </right>
      <top/>
      <bottom/>
      <diagonal/>
    </border>
    <border>
      <left/>
      <right style="thick">
        <color theme="4" tint="-0.499984740745262"/>
      </right>
      <top style="thin">
        <color theme="4"/>
      </top>
      <bottom style="medium">
        <color theme="3" tint="0.749961851863155"/>
      </bottom>
      <diagonal/>
    </border>
    <border>
      <left/>
      <right style="thick">
        <color theme="4" tint="-0.499984740745262"/>
      </right>
      <top/>
      <bottom style="thin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ck">
        <color theme="5" tint="-0.499984740745262"/>
      </right>
      <top/>
      <bottom/>
      <diagonal/>
    </border>
    <border>
      <left/>
      <right style="thick">
        <color theme="5" tint="-0.499984740745262"/>
      </right>
      <top/>
      <bottom style="medium">
        <color theme="3" tint="0.749961851863155"/>
      </bottom>
      <diagonal/>
    </border>
    <border>
      <left/>
      <right style="thick">
        <color theme="5" tint="-0.499984740745262"/>
      </right>
      <top style="medium">
        <color theme="3" tint="0.749961851863155"/>
      </top>
      <bottom/>
      <diagonal/>
    </border>
    <border>
      <left/>
      <right/>
      <top style="thick">
        <color theme="5" tint="-0.499984740745262"/>
      </top>
      <bottom style="thick">
        <color theme="5" tint="-0.499984740745262"/>
      </bottom>
      <diagonal/>
    </border>
    <border>
      <left/>
      <right style="thick">
        <color theme="5" tint="-0.499984740745262"/>
      </right>
      <top style="thick">
        <color theme="5" tint="-0.499984740745262"/>
      </top>
      <bottom style="thick">
        <color theme="5" tint="-0.499984740745262"/>
      </bottom>
      <diagonal/>
    </border>
    <border>
      <left/>
      <right style="thick">
        <color theme="5" tint="-0.499984740745262"/>
      </right>
      <top style="thick">
        <color theme="5" tint="-0.499984740745262"/>
      </top>
      <bottom style="medium">
        <color theme="3" tint="0.749961851863155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theme="5" tint="-0.499984740745262"/>
      </left>
      <right/>
      <top style="thick">
        <color theme="5" tint="-0.499984740745262"/>
      </top>
      <bottom style="thick">
        <color theme="5" tint="-0.499984740745262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theme="5" tint="-0.499984740745262"/>
      </right>
      <top/>
      <bottom style="thick">
        <color theme="5" tint="-0.499984740745262"/>
      </bottom>
      <diagonal/>
    </border>
    <border>
      <left/>
      <right/>
      <top/>
      <bottom style="thick">
        <color theme="5" tint="-0.499984740745262"/>
      </bottom>
      <diagonal/>
    </border>
  </borders>
  <cellStyleXfs count="9">
    <xf numFmtId="0" fontId="0" fillId="7" borderId="0">
      <alignment vertical="center"/>
    </xf>
    <xf numFmtId="0" fontId="2" fillId="2" borderId="0" applyNumberFormat="0" applyProtection="0">
      <alignment vertical="center"/>
    </xf>
    <xf numFmtId="0" fontId="3" fillId="2" borderId="0" applyNumberFormat="0" applyFill="0" applyProtection="0">
      <alignment horizontal="left" vertical="center"/>
    </xf>
    <xf numFmtId="0" fontId="4" fillId="0" borderId="3" applyNumberFormat="0" applyFill="0" applyProtection="0">
      <alignment vertical="center"/>
    </xf>
    <xf numFmtId="0" fontId="5" fillId="0" borderId="2" applyNumberFormat="0" applyFill="0" applyProtection="0">
      <alignment vertical="center"/>
    </xf>
    <xf numFmtId="0" fontId="6" fillId="6" borderId="4" applyNumberFormat="0" applyProtection="0">
      <alignment horizontal="left" vertical="center" indent="1"/>
    </xf>
    <xf numFmtId="0" fontId="7" fillId="7" borderId="0" applyNumberFormat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</cellStyleXfs>
  <cellXfs count="89">
    <xf numFmtId="0" fontId="0" fillId="7" borderId="0" xfId="0">
      <alignment vertical="center"/>
    </xf>
    <xf numFmtId="0" fontId="1" fillId="4" borderId="0" xfId="0" applyFont="1" applyFill="1" applyAlignment="1">
      <alignment horizontal="left" vertical="center" indent="1"/>
    </xf>
    <xf numFmtId="0" fontId="0" fillId="2" borderId="0" xfId="0" applyFill="1">
      <alignment vertical="center"/>
    </xf>
    <xf numFmtId="0" fontId="0" fillId="7" borderId="1" xfId="0" applyBorder="1">
      <alignment vertical="center"/>
    </xf>
    <xf numFmtId="0" fontId="7" fillId="7" borderId="0" xfId="6"/>
    <xf numFmtId="0" fontId="1" fillId="8" borderId="0" xfId="0" applyFont="1" applyFill="1" applyAlignment="1">
      <alignment horizontal="left" vertical="center" indent="1"/>
    </xf>
    <xf numFmtId="0" fontId="0" fillId="7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165" fontId="3" fillId="5" borderId="0" xfId="2" applyNumberFormat="1" applyFill="1" applyAlignment="1">
      <alignment horizontal="center" vertical="center"/>
    </xf>
    <xf numFmtId="165" fontId="3" fillId="5" borderId="0" xfId="2" applyNumberFormat="1" applyFill="1" applyAlignment="1">
      <alignment horizontal="right" vertical="center"/>
    </xf>
    <xf numFmtId="166" fontId="3" fillId="5" borderId="0" xfId="8" applyNumberFormat="1" applyFont="1" applyFill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0" fillId="7" borderId="0" xfId="0" applyAlignment="1">
      <alignment horizontal="center" vertical="center"/>
    </xf>
    <xf numFmtId="0" fontId="0" fillId="12" borderId="0" xfId="0" applyFill="1" applyAlignment="1">
      <alignment horizontal="center" vertical="center"/>
    </xf>
    <xf numFmtId="9" fontId="14" fillId="11" borderId="8" xfId="0" applyNumberFormat="1" applyFont="1" applyFill="1" applyBorder="1" applyAlignment="1">
      <alignment horizontal="center" vertical="center"/>
    </xf>
    <xf numFmtId="9" fontId="14" fillId="7" borderId="9" xfId="0" applyNumberFormat="1" applyFont="1" applyBorder="1" applyAlignment="1">
      <alignment horizontal="center" vertical="center"/>
    </xf>
    <xf numFmtId="9" fontId="14" fillId="9" borderId="5" xfId="7" applyNumberFormat="1" applyFont="1" applyFill="1" applyBorder="1" applyAlignment="1">
      <alignment horizontal="center" vertical="center"/>
    </xf>
    <xf numFmtId="9" fontId="14" fillId="10" borderId="5" xfId="7" applyNumberFormat="1" applyFont="1" applyFill="1" applyBorder="1" applyAlignment="1">
      <alignment horizontal="center" vertical="center"/>
    </xf>
    <xf numFmtId="0" fontId="14" fillId="7" borderId="7" xfId="0" applyFont="1" applyBorder="1" applyAlignment="1">
      <alignment horizontal="center" vertical="center"/>
    </xf>
    <xf numFmtId="0" fontId="0" fillId="7" borderId="0" xfId="0" applyFill="1">
      <alignment vertical="center"/>
    </xf>
    <xf numFmtId="0" fontId="0" fillId="7" borderId="0" xfId="0" applyFill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7" borderId="0" xfId="0" applyAlignment="1">
      <alignment horizontal="center" vertical="center" wrapText="1"/>
    </xf>
    <xf numFmtId="0" fontId="0" fillId="7" borderId="0" xfId="0" applyFill="1" applyAlignment="1">
      <alignment horizontal="left" vertical="center" wrapText="1"/>
    </xf>
    <xf numFmtId="0" fontId="10" fillId="7" borderId="11" xfId="0" applyFont="1" applyFill="1" applyBorder="1" applyAlignment="1">
      <alignment horizontal="center" vertical="center"/>
    </xf>
    <xf numFmtId="0" fontId="8" fillId="7" borderId="15" xfId="0" applyFont="1" applyFill="1" applyBorder="1" applyAlignment="1">
      <alignment horizontal="center" vertical="center" wrapText="1"/>
    </xf>
    <xf numFmtId="0" fontId="0" fillId="7" borderId="0" xfId="0" applyAlignment="1">
      <alignment vertical="center"/>
    </xf>
    <xf numFmtId="0" fontId="1" fillId="13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 wrapText="1"/>
    </xf>
    <xf numFmtId="0" fontId="13" fillId="4" borderId="0" xfId="0" applyFont="1" applyFill="1" applyAlignment="1">
      <alignment horizontal="center" vertical="center" wrapText="1"/>
    </xf>
    <xf numFmtId="0" fontId="0" fillId="7" borderId="10" xfId="0" applyBorder="1">
      <alignment vertical="center"/>
    </xf>
    <xf numFmtId="9" fontId="15" fillId="12" borderId="10" xfId="7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4" fillId="7" borderId="0" xfId="0" applyFont="1" applyAlignment="1">
      <alignment horizontal="center" vertical="center"/>
    </xf>
    <xf numFmtId="165" fontId="3" fillId="5" borderId="0" xfId="2" applyNumberFormat="1" applyFill="1" applyAlignment="1">
      <alignment horizontal="center" vertical="center" wrapText="1"/>
    </xf>
    <xf numFmtId="9" fontId="21" fillId="7" borderId="0" xfId="7" applyFont="1" applyFill="1" applyAlignment="1">
      <alignment horizontal="center" vertical="center"/>
    </xf>
    <xf numFmtId="0" fontId="21" fillId="7" borderId="0" xfId="0" applyFont="1" applyAlignment="1">
      <alignment horizontal="center" vertical="center"/>
    </xf>
    <xf numFmtId="0" fontId="21" fillId="7" borderId="0" xfId="0" applyFont="1">
      <alignment vertical="center"/>
    </xf>
    <xf numFmtId="165" fontId="22" fillId="5" borderId="0" xfId="2" applyNumberFormat="1" applyFont="1" applyFill="1" applyAlignment="1">
      <alignment horizontal="center" vertical="center"/>
    </xf>
    <xf numFmtId="0" fontId="16" fillId="7" borderId="16" xfId="0" applyFont="1" applyBorder="1" applyAlignment="1">
      <alignment horizontal="center" vertical="center"/>
    </xf>
    <xf numFmtId="0" fontId="0" fillId="7" borderId="18" xfId="0" applyBorder="1">
      <alignment vertical="center"/>
    </xf>
    <xf numFmtId="9" fontId="15" fillId="12" borderId="19" xfId="7" applyFont="1" applyFill="1" applyBorder="1" applyAlignment="1">
      <alignment horizontal="center" vertical="center" wrapText="1"/>
    </xf>
    <xf numFmtId="164" fontId="24" fillId="7" borderId="1" xfId="0" applyNumberFormat="1" applyFont="1" applyFill="1" applyBorder="1" applyAlignment="1">
      <alignment horizontal="center" vertical="center"/>
    </xf>
    <xf numFmtId="0" fontId="0" fillId="7" borderId="10" xfId="0" applyBorder="1" applyAlignment="1">
      <alignment vertical="center"/>
    </xf>
    <xf numFmtId="0" fontId="10" fillId="7" borderId="6" xfId="0" applyFont="1" applyFill="1" applyBorder="1" applyAlignment="1">
      <alignment horizontal="center" vertical="center"/>
    </xf>
    <xf numFmtId="164" fontId="26" fillId="9" borderId="0" xfId="0" applyNumberFormat="1" applyFont="1" applyFill="1" applyBorder="1" applyAlignment="1">
      <alignment horizontal="center" vertical="center"/>
    </xf>
    <xf numFmtId="9" fontId="26" fillId="9" borderId="0" xfId="7" applyNumberFormat="1" applyFont="1" applyFill="1" applyBorder="1" applyAlignment="1">
      <alignment horizontal="center" vertical="center"/>
    </xf>
    <xf numFmtId="9" fontId="26" fillId="9" borderId="10" xfId="7" applyNumberFormat="1" applyFont="1" applyFill="1" applyBorder="1" applyAlignment="1">
      <alignment horizontal="center" vertical="center"/>
    </xf>
    <xf numFmtId="9" fontId="27" fillId="7" borderId="0" xfId="0" applyNumberFormat="1" applyFont="1" applyAlignment="1">
      <alignment horizontal="center" vertical="center" wrapText="1"/>
    </xf>
    <xf numFmtId="9" fontId="27" fillId="7" borderId="0" xfId="0" applyNumberFormat="1" applyFont="1" applyAlignment="1">
      <alignment horizontal="center" vertical="center"/>
    </xf>
    <xf numFmtId="9" fontId="27" fillId="7" borderId="12" xfId="0" applyNumberFormat="1" applyFont="1" applyBorder="1" applyAlignment="1">
      <alignment horizontal="center" vertical="center"/>
    </xf>
    <xf numFmtId="164" fontId="26" fillId="10" borderId="0" xfId="0" applyNumberFormat="1" applyFont="1" applyFill="1" applyBorder="1" applyAlignment="1">
      <alignment horizontal="center" vertical="center"/>
    </xf>
    <xf numFmtId="9" fontId="26" fillId="10" borderId="0" xfId="7" applyNumberFormat="1" applyFont="1" applyFill="1" applyBorder="1" applyAlignment="1">
      <alignment horizontal="center" vertical="center"/>
    </xf>
    <xf numFmtId="9" fontId="26" fillId="10" borderId="10" xfId="7" applyNumberFormat="1" applyFont="1" applyFill="1" applyBorder="1" applyAlignment="1">
      <alignment horizontal="center" vertical="center"/>
    </xf>
    <xf numFmtId="9" fontId="27" fillId="7" borderId="10" xfId="0" applyNumberFormat="1" applyFont="1" applyBorder="1" applyAlignment="1">
      <alignment horizontal="center" vertical="center" wrapText="1"/>
    </xf>
    <xf numFmtId="9" fontId="27" fillId="7" borderId="10" xfId="0" applyNumberFormat="1" applyFont="1" applyBorder="1" applyAlignment="1">
      <alignment horizontal="center" vertical="center"/>
    </xf>
    <xf numFmtId="0" fontId="26" fillId="7" borderId="20" xfId="0" applyFont="1" applyBorder="1" applyAlignment="1">
      <alignment horizontal="center" vertical="center"/>
    </xf>
    <xf numFmtId="0" fontId="26" fillId="7" borderId="19" xfId="0" applyFont="1" applyBorder="1" applyAlignment="1">
      <alignment horizontal="center" vertical="center"/>
    </xf>
    <xf numFmtId="9" fontId="27" fillId="7" borderId="20" xfId="0" applyNumberFormat="1" applyFont="1" applyBorder="1" applyAlignment="1">
      <alignment horizontal="center" vertical="center" wrapText="1"/>
    </xf>
    <xf numFmtId="9" fontId="27" fillId="7" borderId="19" xfId="0" applyNumberFormat="1" applyFont="1" applyBorder="1" applyAlignment="1">
      <alignment horizontal="center" vertical="center" wrapText="1"/>
    </xf>
    <xf numFmtId="0" fontId="0" fillId="7" borderId="0" xfId="0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left" vertical="center" indent="1"/>
    </xf>
    <xf numFmtId="0" fontId="13" fillId="0" borderId="0" xfId="0" applyFont="1" applyFill="1" applyAlignment="1">
      <alignment horizontal="center" vertical="center" wrapText="1"/>
    </xf>
    <xf numFmtId="9" fontId="0" fillId="7" borderId="0" xfId="7" applyFont="1" applyFill="1" applyAlignment="1">
      <alignment vertical="center"/>
    </xf>
    <xf numFmtId="9" fontId="29" fillId="14" borderId="0" xfId="7" applyFont="1" applyFill="1" applyAlignment="1">
      <alignment horizontal="center" vertical="center"/>
    </xf>
    <xf numFmtId="164" fontId="26" fillId="15" borderId="0" xfId="0" applyNumberFormat="1" applyFont="1" applyFill="1" applyBorder="1" applyAlignment="1">
      <alignment horizontal="center" vertical="center"/>
    </xf>
    <xf numFmtId="0" fontId="0" fillId="5" borderId="0" xfId="0" applyFill="1">
      <alignment vertical="center"/>
    </xf>
    <xf numFmtId="43" fontId="0" fillId="7" borderId="0" xfId="8" applyFont="1" applyFill="1" applyAlignment="1">
      <alignment vertical="center"/>
    </xf>
    <xf numFmtId="168" fontId="27" fillId="7" borderId="0" xfId="0" applyNumberFormat="1" applyFont="1" applyAlignment="1">
      <alignment horizontal="center" vertical="center" wrapText="1"/>
    </xf>
    <xf numFmtId="168" fontId="27" fillId="7" borderId="0" xfId="7" applyNumberFormat="1" applyFont="1" applyFill="1" applyAlignment="1">
      <alignment horizontal="center" vertical="center" wrapText="1"/>
    </xf>
    <xf numFmtId="168" fontId="27" fillId="7" borderId="12" xfId="0" applyNumberFormat="1" applyFont="1" applyBorder="1" applyAlignment="1">
      <alignment horizontal="center" vertical="center" wrapText="1"/>
    </xf>
    <xf numFmtId="9" fontId="14" fillId="9" borderId="0" xfId="7" applyNumberFormat="1" applyFont="1" applyFill="1" applyBorder="1" applyAlignment="1">
      <alignment horizontal="center" vertical="center"/>
    </xf>
    <xf numFmtId="9" fontId="14" fillId="10" borderId="0" xfId="7" applyNumberFormat="1" applyFont="1" applyFill="1" applyBorder="1" applyAlignment="1">
      <alignment horizontal="center" vertical="center"/>
    </xf>
    <xf numFmtId="9" fontId="14" fillId="7" borderId="0" xfId="0" applyNumberFormat="1" applyFont="1" applyBorder="1" applyAlignment="1">
      <alignment horizontal="center" vertical="center"/>
    </xf>
    <xf numFmtId="0" fontId="17" fillId="7" borderId="0" xfId="0" applyFont="1" applyAlignment="1">
      <alignment wrapText="1"/>
    </xf>
    <xf numFmtId="0" fontId="0" fillId="7" borderId="0" xfId="0" applyAlignment="1">
      <alignment horizontal="center" vertical="center"/>
    </xf>
    <xf numFmtId="165" fontId="3" fillId="5" borderId="0" xfId="2" applyNumberFormat="1" applyFill="1" applyAlignment="1">
      <alignment horizontal="right" vertical="center"/>
    </xf>
    <xf numFmtId="165" fontId="3" fillId="5" borderId="0" xfId="2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left" vertical="center" wrapText="1"/>
    </xf>
    <xf numFmtId="0" fontId="23" fillId="7" borderId="17" xfId="0" applyFont="1" applyBorder="1" applyAlignment="1">
      <alignment horizontal="center" vertical="center" wrapText="1"/>
    </xf>
    <xf numFmtId="0" fontId="23" fillId="7" borderId="13" xfId="0" applyFont="1" applyBorder="1" applyAlignment="1">
      <alignment horizontal="center" vertical="center" wrapText="1"/>
    </xf>
    <xf numFmtId="0" fontId="23" fillId="7" borderId="14" xfId="0" applyFont="1" applyBorder="1" applyAlignment="1">
      <alignment horizontal="center" vertical="center" wrapText="1"/>
    </xf>
    <xf numFmtId="0" fontId="23" fillId="7" borderId="17" xfId="0" applyFont="1" applyBorder="1" applyAlignment="1">
      <alignment horizontal="center" vertical="center"/>
    </xf>
    <xf numFmtId="0" fontId="23" fillId="7" borderId="13" xfId="0" applyFont="1" applyBorder="1" applyAlignment="1">
      <alignment horizontal="center" vertical="center"/>
    </xf>
    <xf numFmtId="0" fontId="23" fillId="7" borderId="14" xfId="0" applyFont="1" applyBorder="1" applyAlignment="1">
      <alignment horizontal="center" vertical="center"/>
    </xf>
    <xf numFmtId="0" fontId="21" fillId="5" borderId="0" xfId="0" applyFont="1" applyFill="1" applyAlignment="1">
      <alignment horizontal="center" vertical="center"/>
    </xf>
  </cellXfs>
  <cellStyles count="9">
    <cellStyle name="Heading 5" xfId="5" xr:uid="{00000000-0005-0000-0000-000002000000}"/>
    <cellStyle name="Milliers" xfId="8" builtinId="3"/>
    <cellStyle name="Normal" xfId="0" builtinId="0" customBuiltin="1"/>
    <cellStyle name="Pourcentage" xfId="7" builtinId="5"/>
    <cellStyle name="Titre" xfId="6" builtinId="15" customBuiltin="1"/>
    <cellStyle name="Titre 1" xfId="1" builtinId="16" customBuiltin="1"/>
    <cellStyle name="Titre 2" xfId="2" builtinId="17" customBuiltin="1"/>
    <cellStyle name="Titre 3" xfId="3" builtinId="18" customBuiltin="1"/>
    <cellStyle name="Titre 4" xfId="4" builtinId="19" customBuiltin="1"/>
  </cellStyles>
  <dxfs count="44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numFmt numFmtId="13" formatCode="0%"/>
    </dxf>
    <dxf>
      <font>
        <strike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/>
        <right style="thick">
          <color theme="5" tint="-0.499984740745262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rgb="FF002060"/>
        <name val="Calibri"/>
        <family val="2"/>
        <scheme val="minor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2060"/>
        <name val="Calibri"/>
        <family val="2"/>
        <scheme val="minor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206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alibri"/>
        <family val="2"/>
        <scheme val="minor"/>
      </font>
      <numFmt numFmtId="168" formatCode="0.0%"/>
      <alignment horizontal="center" vertical="center" textRotation="0" wrapText="1" indent="0" justifyLastLine="0" shrinkToFit="0" readingOrder="0"/>
      <border diagonalUp="0" diagonalDown="0">
        <left/>
        <right style="thick">
          <color theme="5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alibri"/>
        <family val="2"/>
        <scheme val="minor"/>
      </font>
      <numFmt numFmtId="13" formatCode="0%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alibri"/>
        <family val="2"/>
        <scheme val="minor"/>
      </font>
      <numFmt numFmtId="13" formatCode="0%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2060"/>
        <name val="Calibri"/>
        <family val="2"/>
        <scheme val="minor"/>
      </font>
      <numFmt numFmtId="13" formatCode="0%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rgb="FF002060"/>
        <name val="Calibri"/>
        <family val="2"/>
        <scheme val="minor"/>
      </font>
      <numFmt numFmtId="13" formatCode="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ck">
          <color theme="5" tint="-0.499984740745262"/>
        </right>
        <top/>
        <bottom/>
      </border>
    </dxf>
    <dxf>
      <font>
        <strike val="0"/>
        <outline val="0"/>
        <shadow val="0"/>
        <u val="none"/>
        <vertAlign val="baseline"/>
        <color rgb="FF002060"/>
        <name val="Calibri"/>
        <family val="2"/>
        <scheme val="minor"/>
      </font>
      <border diagonalUp="0" diagonalDown="0" outline="0">
        <left/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2"/>
        <color rgb="FF002060"/>
        <name val="Calibri"/>
        <family val="2"/>
        <scheme val="minor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2060"/>
        <name val="Calibri"/>
        <family val="2"/>
        <scheme val="minor"/>
      </font>
      <alignment vertical="center" textRotation="0" indent="0" justifyLastLine="0" shrinkToFit="0" readingOrder="0"/>
      <border diagonalUp="0" diagonalDown="0" outline="0">
        <left style="medium">
          <color indexed="64"/>
        </left>
        <right/>
      </border>
    </dxf>
    <dxf>
      <alignment vertical="center" textRotation="0" indent="0" justifyLastLine="0" shrinkToFit="0" readingOrder="0"/>
    </dxf>
    <dxf>
      <border outline="0">
        <bottom style="medium">
          <color theme="3" tint="0.74996185186315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3" tint="0.2499465926084170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 val="0"/>
        <i val="0"/>
      </font>
      <fill>
        <patternFill>
          <bgColor theme="2"/>
        </patternFill>
      </fill>
    </dxf>
    <dxf>
      <font>
        <b val="0"/>
        <i val="0"/>
        <color theme="3" tint="0.2499465926084170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3" tint="0.24994659260841701"/>
      </font>
      <fill>
        <patternFill>
          <bgColor theme="0"/>
        </patternFill>
      </fill>
      <border diagonalUp="0" diagonalDown="0">
        <left/>
        <right/>
        <top style="medium">
          <color theme="3" tint="0.749961851863155"/>
        </top>
        <bottom/>
        <vertical/>
        <horizontal/>
      </border>
    </dxf>
    <dxf>
      <font>
        <b/>
        <i val="0"/>
        <color theme="3" tint="0.24994659260841701"/>
      </font>
      <fill>
        <patternFill patternType="solid">
          <fgColor indexed="64"/>
          <bgColor theme="2"/>
        </patternFill>
      </fill>
      <border diagonalUp="0" diagonalDown="0">
        <left/>
        <right/>
        <top/>
        <bottom style="medium">
          <color theme="3" tint="0.749961851863155"/>
        </bottom>
        <vertical/>
        <horizontal/>
      </border>
    </dxf>
    <dxf>
      <font>
        <b/>
        <i/>
        <color theme="3" tint="0.24994659260841701"/>
      </font>
      <fill>
        <patternFill patternType="solid"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/>
        <color theme="3" tint="0.24994659260841701"/>
      </font>
      <fill>
        <patternFill>
          <bgColor theme="4" tint="0.59996337778862885"/>
        </patternFill>
      </fill>
      <border diagonalUp="0" diagonalDown="0">
        <left/>
        <right/>
        <top style="medium">
          <color theme="3" tint="0.499984740745262"/>
        </top>
        <bottom/>
        <vertical/>
        <horizontal/>
      </border>
    </dxf>
    <dxf>
      <font>
        <b val="0"/>
        <i val="0"/>
        <color theme="3" tint="0.24994659260841701"/>
      </font>
      <fill>
        <patternFill patternType="solid">
          <fgColor indexed="64"/>
          <bgColor theme="4" tint="0.59996337778862885"/>
        </patternFill>
      </fill>
      <border diagonalUp="0" diagonalDown="0">
        <left/>
        <right/>
        <top/>
        <bottom style="dashed">
          <color theme="3" tint="0.499984740745262"/>
        </bottom>
        <vertical/>
        <horizontal/>
      </border>
    </dxf>
    <dxf>
      <font>
        <b val="0"/>
        <i val="0"/>
        <color theme="3" tint="0.24994659260841701"/>
      </font>
      <fill>
        <patternFill patternType="solid">
          <bgColor theme="4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</dxf>
    <dxf>
      <font>
        <b val="0"/>
        <i val="0"/>
        <color theme="3" tint="0.24994659260841701"/>
      </font>
      <fill>
        <patternFill>
          <bgColor theme="0"/>
        </patternFill>
      </fill>
      <border diagonalUp="0" diagonalDown="0">
        <left/>
        <right style="dashed">
          <color theme="3" tint="0.24994659260841701"/>
        </right>
        <top/>
        <bottom/>
        <vertical style="dashed">
          <color theme="3" tint="0.24994659260841701"/>
        </vertical>
        <horizontal/>
      </border>
    </dxf>
    <dxf>
      <font>
        <b/>
        <i val="0"/>
        <color theme="3" tint="0.24994659260841701"/>
      </font>
      <fill>
        <patternFill>
          <bgColor theme="0"/>
        </patternFill>
      </fill>
      <border diagonalUp="0" diagonalDown="0">
        <left/>
        <right/>
        <top style="medium">
          <color theme="3" tint="0.749961851863155"/>
        </top>
        <bottom/>
        <vertical/>
        <horizontal/>
      </border>
    </dxf>
    <dxf>
      <font>
        <b/>
        <i val="0"/>
        <color theme="3" tint="0.24994659260841701"/>
      </font>
      <fill>
        <patternFill patternType="solid">
          <fgColor indexed="64"/>
          <bgColor theme="2"/>
        </patternFill>
      </fill>
      <border diagonalUp="0" diagonalDown="0">
        <left/>
        <right/>
        <top/>
        <bottom style="medium">
          <color theme="3" tint="0.749961851863155"/>
        </bottom>
        <vertical/>
        <horizontal/>
      </border>
    </dxf>
    <dxf>
      <font>
        <b val="0"/>
        <i val="0"/>
        <color theme="3" tint="0.24994659260841701"/>
      </font>
      <border diagonalUp="0" diagonalDown="0">
        <left/>
        <right style="dashed">
          <color theme="3" tint="0.24994659260841701"/>
        </right>
        <top/>
        <bottom/>
        <vertical style="dashed">
          <color theme="3" tint="0.24994659260841701"/>
        </vertical>
        <horizontal/>
      </border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0"/>
        </patternFill>
      </fill>
    </dxf>
    <dxf>
      <font>
        <b val="0"/>
        <i val="0"/>
        <color theme="3" tint="0.24994659260841701"/>
      </font>
      <fill>
        <patternFill>
          <bgColor theme="5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3" tint="0.2499465926084170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/>
        <color theme="3" tint="0.24994659260841701"/>
      </font>
      <fill>
        <patternFill>
          <bgColor theme="3" tint="0.89996032593768116"/>
        </patternFill>
      </fill>
      <border diagonalUp="0" diagonalDown="0">
        <left/>
        <right/>
        <top style="medium">
          <color theme="3" tint="0.749961851863155"/>
        </top>
        <bottom/>
        <vertical/>
        <horizontal/>
      </border>
    </dxf>
    <dxf>
      <font>
        <b/>
        <i val="0"/>
        <color theme="3" tint="0.24994659260841701"/>
      </font>
      <fill>
        <patternFill patternType="solid">
          <fgColor theme="7"/>
          <bgColor theme="3" tint="0.89996032593768116"/>
        </patternFill>
      </fill>
      <border diagonalUp="0" diagonalDown="0">
        <left/>
        <right/>
        <top/>
        <bottom style="medium">
          <color theme="3" tint="0.749961851863155"/>
        </bottom>
        <vertical/>
        <horizontal/>
      </border>
    </dxf>
    <dxf>
      <font>
        <b val="0"/>
        <i val="0"/>
        <color theme="3" tint="0.24994659260841701"/>
      </font>
      <fill>
        <patternFill>
          <bgColor theme="3" tint="0.89996032593768116"/>
        </patternFill>
      </fill>
      <border diagonalUp="0" diagonalDown="0">
        <left/>
        <right/>
        <top/>
        <bottom/>
        <vertical/>
        <horizontal/>
      </border>
    </dxf>
  </dxfs>
  <tableStyles count="4" defaultTableStyle="Personal Cash Flow Statement" defaultPivotStyle="PivotStyleLight15">
    <tableStyle name="Personal Cash Flow Statement" pivot="0" count="9" xr9:uid="{00000000-0011-0000-FFFF-FFFF00000000}">
      <tableStyleElement type="wholeTable" dxfId="43"/>
      <tableStyleElement type="headerRow" dxfId="42"/>
      <tableStyleElement type="totalRow" dxfId="41"/>
      <tableStyleElement type="firstColumn" dxfId="40"/>
      <tableStyleElement type="lastColumn" dxfId="39"/>
      <tableStyleElement type="firstHeaderCell" dxfId="38"/>
      <tableStyleElement type="lastHeaderCell" dxfId="37"/>
      <tableStyleElement type="firstTotalCell" dxfId="36"/>
      <tableStyleElement type="lastTotalCell" dxfId="35"/>
    </tableStyle>
    <tableStyle name="Personal Cash Flow Statement 2" pivot="0" count="5" xr9:uid="{00000000-0011-0000-FFFF-FFFF01000000}">
      <tableStyleElement type="wholeTable" dxfId="34"/>
      <tableStyleElement type="headerRow" dxfId="33"/>
      <tableStyleElement type="totalRow" dxfId="32"/>
      <tableStyleElement type="firstRowStripe" dxfId="31"/>
      <tableStyleElement type="secondRowStripe" dxfId="30"/>
    </tableStyle>
    <tableStyle name="Personal Cash Flow Statement 3" pivot="0" count="3" xr9:uid="{00000000-0011-0000-FFFF-FFFF02000000}">
      <tableStyleElement type="wholeTable" dxfId="29"/>
      <tableStyleElement type="headerRow" dxfId="28"/>
      <tableStyleElement type="totalRow" dxfId="27"/>
    </tableStyle>
    <tableStyle name="Personal Cash Flow Statement 4" pivot="0" count="5" xr9:uid="{00000000-0011-0000-FFFF-FFFF03000000}">
      <tableStyleElement type="wholeTable" dxfId="26"/>
      <tableStyleElement type="headerRow" dxfId="25"/>
      <tableStyleElement type="totalRow" dxfId="24"/>
      <tableStyleElement type="firstRowStripe" dxfId="23"/>
      <tableStyleElement type="secondRowStripe" dxfId="22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onn&#233;es cl&#233;s'!A1"/><Relationship Id="rId2" Type="http://schemas.openxmlformats.org/officeDocument/2006/relationships/hyperlink" Target="#'Tableau de bord'!A1"/><Relationship Id="rId1" Type="http://schemas.openxmlformats.org/officeDocument/2006/relationships/hyperlink" Target="#Guid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Donn&#233;es cl&#233;s'!A1"/><Relationship Id="rId2" Type="http://schemas.openxmlformats.org/officeDocument/2006/relationships/hyperlink" Target="#'Tableau de bord'!A1"/><Relationship Id="rId1" Type="http://schemas.openxmlformats.org/officeDocument/2006/relationships/hyperlink" Target="#Guid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Donn&#233;es cl&#233;s'!A1"/><Relationship Id="rId2" Type="http://schemas.openxmlformats.org/officeDocument/2006/relationships/hyperlink" Target="#'Tableau de bord'!A1"/><Relationship Id="rId1" Type="http://schemas.openxmlformats.org/officeDocument/2006/relationships/hyperlink" Target="#Guid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663575</xdr:colOff>
      <xdr:row>0</xdr:row>
      <xdr:rowOff>14111</xdr:rowOff>
    </xdr:from>
    <xdr:to>
      <xdr:col>3</xdr:col>
      <xdr:colOff>1530350</xdr:colOff>
      <xdr:row>1</xdr:row>
      <xdr:rowOff>14111</xdr:rowOff>
    </xdr:to>
    <xdr:sp macro="" textlink="">
      <xdr:nvSpPr>
        <xdr:cNvPr id="3" name="Rectangle 2">
          <a:hlinkClick xmlns:r="http://schemas.openxmlformats.org/officeDocument/2006/relationships" r:id="rId1" tooltip="Cliquer pour afficher le guide de flux de trésorerie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83353" y="14111"/>
          <a:ext cx="866775" cy="493889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accent1">
                  <a:lumMod val="75000"/>
                </a:schemeClr>
              </a:solidFill>
              <a:latin typeface="+mj-lt"/>
            </a:rPr>
            <a:t>GUIDE</a:t>
          </a:r>
        </a:p>
      </xdr:txBody>
    </xdr:sp>
    <xdr:clientData/>
  </xdr:twoCellAnchor>
  <xdr:twoCellAnchor editAs="absolute">
    <xdr:from>
      <xdr:col>3</xdr:col>
      <xdr:colOff>1587501</xdr:colOff>
      <xdr:row>0</xdr:row>
      <xdr:rowOff>14111</xdr:rowOff>
    </xdr:from>
    <xdr:to>
      <xdr:col>5</xdr:col>
      <xdr:colOff>307623</xdr:colOff>
      <xdr:row>1</xdr:row>
      <xdr:rowOff>14111</xdr:rowOff>
    </xdr:to>
    <xdr:sp macro="" textlink="">
      <xdr:nvSpPr>
        <xdr:cNvPr id="9" name="Rectangle 8">
          <a:hlinkClick xmlns:r="http://schemas.openxmlformats.org/officeDocument/2006/relationships" r:id="rId2" tooltip="Cliquer pour afficher le flux de trésorerie annuel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607279" y="14111"/>
          <a:ext cx="1104900" cy="493889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2">
                  <a:lumMod val="25000"/>
                  <a:lumOff val="75000"/>
                </a:schemeClr>
              </a:solidFill>
              <a:latin typeface="+mj-lt"/>
              <a:ea typeface="+mn-ea"/>
              <a:cs typeface="+mn-cs"/>
            </a:rPr>
            <a:t>Tableau de bord</a:t>
          </a:r>
        </a:p>
      </xdr:txBody>
    </xdr:sp>
    <xdr:clientData/>
  </xdr:twoCellAnchor>
  <xdr:twoCellAnchor editAs="absolute">
    <xdr:from>
      <xdr:col>5</xdr:col>
      <xdr:colOff>364774</xdr:colOff>
      <xdr:row>0</xdr:row>
      <xdr:rowOff>14111</xdr:rowOff>
    </xdr:from>
    <xdr:to>
      <xdr:col>5</xdr:col>
      <xdr:colOff>1378303</xdr:colOff>
      <xdr:row>1</xdr:row>
      <xdr:rowOff>14111</xdr:rowOff>
    </xdr:to>
    <xdr:sp macro="" textlink="">
      <xdr:nvSpPr>
        <xdr:cNvPr id="10" name="Rectangle 9">
          <a:hlinkClick xmlns:r="http://schemas.openxmlformats.org/officeDocument/2006/relationships" r:id="rId3" tooltip="Cliquer pour afficher le flux de trésorerie mensuel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69330" y="14111"/>
          <a:ext cx="1013529" cy="493889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2">
                  <a:lumMod val="25000"/>
                  <a:lumOff val="75000"/>
                </a:schemeClr>
              </a:solidFill>
              <a:latin typeface="+mj-lt"/>
            </a:rPr>
            <a:t>Données clés</a:t>
          </a:r>
        </a:p>
      </xdr:txBody>
    </xdr:sp>
    <xdr:clientData/>
  </xdr:twoCellAnchor>
  <xdr:twoCellAnchor editAs="absolute">
    <xdr:from>
      <xdr:col>3</xdr:col>
      <xdr:colOff>1562848</xdr:colOff>
      <xdr:row>0</xdr:row>
      <xdr:rowOff>14112</xdr:rowOff>
    </xdr:from>
    <xdr:to>
      <xdr:col>3</xdr:col>
      <xdr:colOff>1564529</xdr:colOff>
      <xdr:row>1</xdr:row>
      <xdr:rowOff>4855</xdr:rowOff>
    </xdr:to>
    <xdr:cxnSp macro="">
      <xdr:nvCxnSpPr>
        <xdr:cNvPr id="5" name="Lien droi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 flipV="1">
          <a:off x="4582626" y="14112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337319</xdr:colOff>
      <xdr:row>0</xdr:row>
      <xdr:rowOff>14111</xdr:rowOff>
    </xdr:from>
    <xdr:to>
      <xdr:col>5</xdr:col>
      <xdr:colOff>339000</xdr:colOff>
      <xdr:row>1</xdr:row>
      <xdr:rowOff>4854</xdr:rowOff>
    </xdr:to>
    <xdr:cxnSp macro="">
      <xdr:nvCxnSpPr>
        <xdr:cNvPr id="14" name="Lien droi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H="1" flipV="1">
          <a:off x="5741875" y="14111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1406878</xdr:colOff>
      <xdr:row>0</xdr:row>
      <xdr:rowOff>14111</xdr:rowOff>
    </xdr:from>
    <xdr:to>
      <xdr:col>5</xdr:col>
      <xdr:colOff>1408559</xdr:colOff>
      <xdr:row>1</xdr:row>
      <xdr:rowOff>4854</xdr:rowOff>
    </xdr:to>
    <xdr:cxnSp macro="">
      <xdr:nvCxnSpPr>
        <xdr:cNvPr id="15" name="Lien droi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H="1" flipV="1">
          <a:off x="6811434" y="14111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639484</xdr:colOff>
      <xdr:row>0</xdr:row>
      <xdr:rowOff>14111</xdr:rowOff>
    </xdr:from>
    <xdr:to>
      <xdr:col>3</xdr:col>
      <xdr:colOff>641165</xdr:colOff>
      <xdr:row>1</xdr:row>
      <xdr:rowOff>4854</xdr:rowOff>
    </xdr:to>
    <xdr:cxnSp macro="">
      <xdr:nvCxnSpPr>
        <xdr:cNvPr id="17" name="Lien droi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H="1" flipV="1">
          <a:off x="3659262" y="14111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1874662</xdr:colOff>
      <xdr:row>0</xdr:row>
      <xdr:rowOff>0</xdr:rowOff>
    </xdr:from>
    <xdr:to>
      <xdr:col>3</xdr:col>
      <xdr:colOff>2744838</xdr:colOff>
      <xdr:row>1</xdr:row>
      <xdr:rowOff>6804</xdr:rowOff>
    </xdr:to>
    <xdr:sp macro="" textlink="">
      <xdr:nvSpPr>
        <xdr:cNvPr id="2" name="Rectangle 1">
          <a:hlinkClick xmlns:r="http://schemas.openxmlformats.org/officeDocument/2006/relationships" r:id="rId1" tooltip="Cliquer pour afficher le guide de flux de trésorerie"/>
          <a:extLst>
            <a:ext uri="{FF2B5EF4-FFF2-40B4-BE49-F238E27FC236}">
              <a16:creationId xmlns:a16="http://schemas.microsoft.com/office/drawing/2014/main" id="{626A47DC-6003-4377-9116-E6CB9E4B6B1B}"/>
            </a:ext>
          </a:extLst>
        </xdr:cNvPr>
        <xdr:cNvSpPr/>
      </xdr:nvSpPr>
      <xdr:spPr>
        <a:xfrm>
          <a:off x="5183466" y="0"/>
          <a:ext cx="866775" cy="498929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2">
                  <a:lumMod val="25000"/>
                  <a:lumOff val="75000"/>
                </a:schemeClr>
              </a:solidFill>
              <a:latin typeface="+mj-lt"/>
            </a:rPr>
            <a:t>GUIDE</a:t>
          </a:r>
        </a:p>
      </xdr:txBody>
    </xdr:sp>
    <xdr:clientData/>
  </xdr:twoCellAnchor>
  <xdr:twoCellAnchor editAs="absolute">
    <xdr:from>
      <xdr:col>3</xdr:col>
      <xdr:colOff>2801989</xdr:colOff>
      <xdr:row>0</xdr:row>
      <xdr:rowOff>0</xdr:rowOff>
    </xdr:from>
    <xdr:to>
      <xdr:col>5</xdr:col>
      <xdr:colOff>591282</xdr:colOff>
      <xdr:row>1</xdr:row>
      <xdr:rowOff>6804</xdr:rowOff>
    </xdr:to>
    <xdr:sp macro="" textlink="">
      <xdr:nvSpPr>
        <xdr:cNvPr id="3" name="Rectangle 2">
          <a:hlinkClick xmlns:r="http://schemas.openxmlformats.org/officeDocument/2006/relationships" r:id="rId2" tooltip="Cliquer pour afficher le flux de trésorerie annuel"/>
          <a:extLst>
            <a:ext uri="{FF2B5EF4-FFF2-40B4-BE49-F238E27FC236}">
              <a16:creationId xmlns:a16="http://schemas.microsoft.com/office/drawing/2014/main" id="{184F959C-FF0C-4E1B-830E-F0E359FCD1EA}"/>
            </a:ext>
          </a:extLst>
        </xdr:cNvPr>
        <xdr:cNvSpPr/>
      </xdr:nvSpPr>
      <xdr:spPr>
        <a:xfrm>
          <a:off x="6107392" y="0"/>
          <a:ext cx="1104900" cy="498929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00B0F0"/>
              </a:solidFill>
              <a:latin typeface="+mj-lt"/>
              <a:ea typeface="+mn-ea"/>
              <a:cs typeface="+mn-cs"/>
            </a:rPr>
            <a:t>Tableau de bord</a:t>
          </a:r>
        </a:p>
      </xdr:txBody>
    </xdr:sp>
    <xdr:clientData/>
  </xdr:twoCellAnchor>
  <xdr:twoCellAnchor editAs="absolute">
    <xdr:from>
      <xdr:col>5</xdr:col>
      <xdr:colOff>648433</xdr:colOff>
      <xdr:row>0</xdr:row>
      <xdr:rowOff>0</xdr:rowOff>
    </xdr:from>
    <xdr:to>
      <xdr:col>6</xdr:col>
      <xdr:colOff>142248</xdr:colOff>
      <xdr:row>1</xdr:row>
      <xdr:rowOff>6804</xdr:rowOff>
    </xdr:to>
    <xdr:sp macro="" textlink="">
      <xdr:nvSpPr>
        <xdr:cNvPr id="4" name="Rectangle 3">
          <a:hlinkClick xmlns:r="http://schemas.openxmlformats.org/officeDocument/2006/relationships" r:id="rId3" tooltip="Cliquer pour afficher le flux de trésorerie mensuel"/>
          <a:extLst>
            <a:ext uri="{FF2B5EF4-FFF2-40B4-BE49-F238E27FC236}">
              <a16:creationId xmlns:a16="http://schemas.microsoft.com/office/drawing/2014/main" id="{024B5687-1642-48ED-BED9-69B3698272C6}"/>
            </a:ext>
          </a:extLst>
        </xdr:cNvPr>
        <xdr:cNvSpPr/>
      </xdr:nvSpPr>
      <xdr:spPr>
        <a:xfrm>
          <a:off x="7269443" y="0"/>
          <a:ext cx="1015546" cy="498929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2">
                  <a:lumMod val="25000"/>
                  <a:lumOff val="75000"/>
                </a:schemeClr>
              </a:solidFill>
              <a:latin typeface="+mj-lt"/>
            </a:rPr>
            <a:t>Données clés</a:t>
          </a:r>
        </a:p>
      </xdr:txBody>
    </xdr:sp>
    <xdr:clientData/>
  </xdr:twoCellAnchor>
  <xdr:twoCellAnchor editAs="absolute">
    <xdr:from>
      <xdr:col>3</xdr:col>
      <xdr:colOff>2777336</xdr:colOff>
      <xdr:row>0</xdr:row>
      <xdr:rowOff>1</xdr:rowOff>
    </xdr:from>
    <xdr:to>
      <xdr:col>3</xdr:col>
      <xdr:colOff>2779017</xdr:colOff>
      <xdr:row>0</xdr:row>
      <xdr:rowOff>484633</xdr:rowOff>
    </xdr:to>
    <xdr:cxnSp macro="">
      <xdr:nvCxnSpPr>
        <xdr:cNvPr id="6" name="Lien droit 4">
          <a:extLst>
            <a:ext uri="{FF2B5EF4-FFF2-40B4-BE49-F238E27FC236}">
              <a16:creationId xmlns:a16="http://schemas.microsoft.com/office/drawing/2014/main" id="{7E9C80A8-F2C9-4F09-A1FC-4546CA28524B}"/>
            </a:ext>
          </a:extLst>
        </xdr:cNvPr>
        <xdr:cNvCxnSpPr/>
      </xdr:nvCxnSpPr>
      <xdr:spPr>
        <a:xfrm flipH="1" flipV="1">
          <a:off x="6082739" y="1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620978</xdr:colOff>
      <xdr:row>0</xdr:row>
      <xdr:rowOff>0</xdr:rowOff>
    </xdr:from>
    <xdr:to>
      <xdr:col>5</xdr:col>
      <xdr:colOff>622659</xdr:colOff>
      <xdr:row>0</xdr:row>
      <xdr:rowOff>484632</xdr:rowOff>
    </xdr:to>
    <xdr:cxnSp macro="">
      <xdr:nvCxnSpPr>
        <xdr:cNvPr id="7" name="Lien droit 13">
          <a:extLst>
            <a:ext uri="{FF2B5EF4-FFF2-40B4-BE49-F238E27FC236}">
              <a16:creationId xmlns:a16="http://schemas.microsoft.com/office/drawing/2014/main" id="{2B74AF86-9A99-49F0-B7D5-614528413643}"/>
            </a:ext>
          </a:extLst>
        </xdr:cNvPr>
        <xdr:cNvCxnSpPr/>
      </xdr:nvCxnSpPr>
      <xdr:spPr>
        <a:xfrm flipH="1" flipV="1">
          <a:off x="7241988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178080</xdr:colOff>
      <xdr:row>0</xdr:row>
      <xdr:rowOff>0</xdr:rowOff>
    </xdr:from>
    <xdr:to>
      <xdr:col>6</xdr:col>
      <xdr:colOff>179761</xdr:colOff>
      <xdr:row>0</xdr:row>
      <xdr:rowOff>484632</xdr:rowOff>
    </xdr:to>
    <xdr:cxnSp macro="">
      <xdr:nvCxnSpPr>
        <xdr:cNvPr id="8" name="Lien droit 14">
          <a:extLst>
            <a:ext uri="{FF2B5EF4-FFF2-40B4-BE49-F238E27FC236}">
              <a16:creationId xmlns:a16="http://schemas.microsoft.com/office/drawing/2014/main" id="{C3F06241-9D0B-49AD-BDCF-30401B6EDA16}"/>
            </a:ext>
          </a:extLst>
        </xdr:cNvPr>
        <xdr:cNvCxnSpPr/>
      </xdr:nvCxnSpPr>
      <xdr:spPr>
        <a:xfrm flipH="1" flipV="1">
          <a:off x="8313564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1850571</xdr:colOff>
      <xdr:row>0</xdr:row>
      <xdr:rowOff>0</xdr:rowOff>
    </xdr:from>
    <xdr:to>
      <xdr:col>3</xdr:col>
      <xdr:colOff>1852252</xdr:colOff>
      <xdr:row>0</xdr:row>
      <xdr:rowOff>484632</xdr:rowOff>
    </xdr:to>
    <xdr:cxnSp macro="">
      <xdr:nvCxnSpPr>
        <xdr:cNvPr id="10" name="Lien droit 16">
          <a:extLst>
            <a:ext uri="{FF2B5EF4-FFF2-40B4-BE49-F238E27FC236}">
              <a16:creationId xmlns:a16="http://schemas.microsoft.com/office/drawing/2014/main" id="{F6D2B8EE-9421-412C-B602-3CC8E8F17D65}"/>
            </a:ext>
          </a:extLst>
        </xdr:cNvPr>
        <xdr:cNvCxnSpPr/>
      </xdr:nvCxnSpPr>
      <xdr:spPr>
        <a:xfrm flipH="1" flipV="1">
          <a:off x="5159375" y="0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179407</xdr:colOff>
      <xdr:row>0</xdr:row>
      <xdr:rowOff>0</xdr:rowOff>
    </xdr:from>
    <xdr:to>
      <xdr:col>6</xdr:col>
      <xdr:colOff>181088</xdr:colOff>
      <xdr:row>0</xdr:row>
      <xdr:rowOff>482467</xdr:rowOff>
    </xdr:to>
    <xdr:cxnSp macro="">
      <xdr:nvCxnSpPr>
        <xdr:cNvPr id="17" name="Lien droit 13">
          <a:extLst>
            <a:ext uri="{FF2B5EF4-FFF2-40B4-BE49-F238E27FC236}">
              <a16:creationId xmlns:a16="http://schemas.microsoft.com/office/drawing/2014/main" id="{CBECFA5F-EBA6-44A5-8CB3-A9B8BA33B290}"/>
            </a:ext>
          </a:extLst>
        </xdr:cNvPr>
        <xdr:cNvCxnSpPr/>
      </xdr:nvCxnSpPr>
      <xdr:spPr>
        <a:xfrm flipH="1" flipV="1">
          <a:off x="8314891" y="0"/>
          <a:ext cx="1681" cy="482467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199573</xdr:colOff>
      <xdr:row>9</xdr:row>
      <xdr:rowOff>117929</xdr:rowOff>
    </xdr:from>
    <xdr:to>
      <xdr:col>2</xdr:col>
      <xdr:colOff>172359</xdr:colOff>
      <xdr:row>12</xdr:row>
      <xdr:rowOff>172357</xdr:rowOff>
    </xdr:to>
    <xdr:sp macro="[0]!màj_liste_informations_with_style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CBC3F987-258B-47F9-A3B8-9C534C92D548}"/>
            </a:ext>
          </a:extLst>
        </xdr:cNvPr>
        <xdr:cNvSpPr/>
      </xdr:nvSpPr>
      <xdr:spPr>
        <a:xfrm>
          <a:off x="907144" y="2050143"/>
          <a:ext cx="1850572" cy="6168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Mettre</a:t>
          </a:r>
          <a:r>
            <a:rPr lang="en-US" sz="1600" baseline="0"/>
            <a:t> à jour la liste des informations</a:t>
          </a:r>
          <a:endParaRPr lang="en-US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2087238</xdr:colOff>
      <xdr:row>0</xdr:row>
      <xdr:rowOff>62367</xdr:rowOff>
    </xdr:from>
    <xdr:to>
      <xdr:col>3</xdr:col>
      <xdr:colOff>806655</xdr:colOff>
      <xdr:row>0</xdr:row>
      <xdr:rowOff>561296</xdr:rowOff>
    </xdr:to>
    <xdr:sp macro="" textlink="">
      <xdr:nvSpPr>
        <xdr:cNvPr id="2" name="Rectangle 1">
          <a:hlinkClick xmlns:r="http://schemas.openxmlformats.org/officeDocument/2006/relationships" r:id="rId1" tooltip="Cliquer pour afficher le guide de flux de trésorerie"/>
          <a:extLst>
            <a:ext uri="{FF2B5EF4-FFF2-40B4-BE49-F238E27FC236}">
              <a16:creationId xmlns:a16="http://schemas.microsoft.com/office/drawing/2014/main" id="{3A6EC418-D472-4F8C-8465-336881B20D4A}"/>
            </a:ext>
          </a:extLst>
        </xdr:cNvPr>
        <xdr:cNvSpPr/>
      </xdr:nvSpPr>
      <xdr:spPr>
        <a:xfrm>
          <a:off x="4745771" y="62367"/>
          <a:ext cx="859971" cy="498929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2">
                  <a:lumMod val="25000"/>
                  <a:lumOff val="75000"/>
                </a:schemeClr>
              </a:solidFill>
              <a:latin typeface="+mj-lt"/>
            </a:rPr>
            <a:t>GUIDE</a:t>
          </a:r>
        </a:p>
      </xdr:txBody>
    </xdr:sp>
    <xdr:clientData/>
  </xdr:twoCellAnchor>
  <xdr:twoCellAnchor editAs="absolute">
    <xdr:from>
      <xdr:col>3</xdr:col>
      <xdr:colOff>863806</xdr:colOff>
      <xdr:row>0</xdr:row>
      <xdr:rowOff>62367</xdr:rowOff>
    </xdr:from>
    <xdr:to>
      <xdr:col>4</xdr:col>
      <xdr:colOff>678145</xdr:colOff>
      <xdr:row>0</xdr:row>
      <xdr:rowOff>561296</xdr:rowOff>
    </xdr:to>
    <xdr:sp macro="" textlink="">
      <xdr:nvSpPr>
        <xdr:cNvPr id="3" name="Rectangle 2">
          <a:hlinkClick xmlns:r="http://schemas.openxmlformats.org/officeDocument/2006/relationships" r:id="rId2" tooltip="Cliquer pour afficher le flux de trésorerie annuel"/>
          <a:extLst>
            <a:ext uri="{FF2B5EF4-FFF2-40B4-BE49-F238E27FC236}">
              <a16:creationId xmlns:a16="http://schemas.microsoft.com/office/drawing/2014/main" id="{72FA7BF7-2186-4553-BB9B-1A25400ED3FF}"/>
            </a:ext>
          </a:extLst>
        </xdr:cNvPr>
        <xdr:cNvSpPr/>
      </xdr:nvSpPr>
      <xdr:spPr>
        <a:xfrm>
          <a:off x="5662893" y="62367"/>
          <a:ext cx="1091293" cy="498929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>
                  <a:lumMod val="75000"/>
                </a:schemeClr>
              </a:solidFill>
              <a:latin typeface="+mj-lt"/>
              <a:ea typeface="+mn-ea"/>
              <a:cs typeface="+mn-cs"/>
            </a:rPr>
            <a:t>Tableau de bord</a:t>
          </a:r>
        </a:p>
      </xdr:txBody>
    </xdr:sp>
    <xdr:clientData/>
  </xdr:twoCellAnchor>
  <xdr:twoCellAnchor editAs="absolute">
    <xdr:from>
      <xdr:col>4</xdr:col>
      <xdr:colOff>735296</xdr:colOff>
      <xdr:row>0</xdr:row>
      <xdr:rowOff>62367</xdr:rowOff>
    </xdr:from>
    <xdr:to>
      <xdr:col>5</xdr:col>
      <xdr:colOff>517125</xdr:colOff>
      <xdr:row>0</xdr:row>
      <xdr:rowOff>561296</xdr:rowOff>
    </xdr:to>
    <xdr:sp macro="" textlink="">
      <xdr:nvSpPr>
        <xdr:cNvPr id="4" name="Rectangle 3">
          <a:hlinkClick xmlns:r="http://schemas.openxmlformats.org/officeDocument/2006/relationships" r:id="rId3" tooltip="Cliquer pour afficher le flux de trésorerie mensuel"/>
          <a:extLst>
            <a:ext uri="{FF2B5EF4-FFF2-40B4-BE49-F238E27FC236}">
              <a16:creationId xmlns:a16="http://schemas.microsoft.com/office/drawing/2014/main" id="{F2A8D3A8-A770-4644-A895-A5C7F646A4D3}"/>
            </a:ext>
          </a:extLst>
        </xdr:cNvPr>
        <xdr:cNvSpPr/>
      </xdr:nvSpPr>
      <xdr:spPr>
        <a:xfrm>
          <a:off x="6811337" y="62367"/>
          <a:ext cx="1008742" cy="498929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accent2">
                  <a:lumMod val="60000"/>
                  <a:lumOff val="40000"/>
                </a:schemeClr>
              </a:solidFill>
              <a:latin typeface="+mj-lt"/>
            </a:rPr>
            <a:t>Données clés</a:t>
          </a:r>
        </a:p>
      </xdr:txBody>
    </xdr:sp>
    <xdr:clientData/>
  </xdr:twoCellAnchor>
  <xdr:twoCellAnchor editAs="absolute">
    <xdr:from>
      <xdr:col>3</xdr:col>
      <xdr:colOff>839153</xdr:colOff>
      <xdr:row>0</xdr:row>
      <xdr:rowOff>62368</xdr:rowOff>
    </xdr:from>
    <xdr:to>
      <xdr:col>3</xdr:col>
      <xdr:colOff>840834</xdr:colOff>
      <xdr:row>0</xdr:row>
      <xdr:rowOff>547000</xdr:rowOff>
    </xdr:to>
    <xdr:cxnSp macro="">
      <xdr:nvCxnSpPr>
        <xdr:cNvPr id="5" name="Lien droit 4">
          <a:extLst>
            <a:ext uri="{FF2B5EF4-FFF2-40B4-BE49-F238E27FC236}">
              <a16:creationId xmlns:a16="http://schemas.microsoft.com/office/drawing/2014/main" id="{D588AE7A-FEEF-4255-84F2-FC29B81701F7}"/>
            </a:ext>
          </a:extLst>
        </xdr:cNvPr>
        <xdr:cNvCxnSpPr/>
      </xdr:nvCxnSpPr>
      <xdr:spPr>
        <a:xfrm flipH="1" flipV="1">
          <a:off x="5638240" y="62368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707841</xdr:colOff>
      <xdr:row>0</xdr:row>
      <xdr:rowOff>62367</xdr:rowOff>
    </xdr:from>
    <xdr:to>
      <xdr:col>4</xdr:col>
      <xdr:colOff>709522</xdr:colOff>
      <xdr:row>0</xdr:row>
      <xdr:rowOff>546999</xdr:rowOff>
    </xdr:to>
    <xdr:cxnSp macro="">
      <xdr:nvCxnSpPr>
        <xdr:cNvPr id="6" name="Lien droit 13">
          <a:extLst>
            <a:ext uri="{FF2B5EF4-FFF2-40B4-BE49-F238E27FC236}">
              <a16:creationId xmlns:a16="http://schemas.microsoft.com/office/drawing/2014/main" id="{1584B3BB-30BD-4F01-AE00-B252679172DE}"/>
            </a:ext>
          </a:extLst>
        </xdr:cNvPr>
        <xdr:cNvCxnSpPr/>
      </xdr:nvCxnSpPr>
      <xdr:spPr>
        <a:xfrm flipH="1" flipV="1">
          <a:off x="6783882" y="62367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545700</xdr:colOff>
      <xdr:row>0</xdr:row>
      <xdr:rowOff>62367</xdr:rowOff>
    </xdr:from>
    <xdr:to>
      <xdr:col>5</xdr:col>
      <xdr:colOff>547381</xdr:colOff>
      <xdr:row>0</xdr:row>
      <xdr:rowOff>546999</xdr:rowOff>
    </xdr:to>
    <xdr:cxnSp macro="">
      <xdr:nvCxnSpPr>
        <xdr:cNvPr id="7" name="Lien droit 14">
          <a:extLst>
            <a:ext uri="{FF2B5EF4-FFF2-40B4-BE49-F238E27FC236}">
              <a16:creationId xmlns:a16="http://schemas.microsoft.com/office/drawing/2014/main" id="{64B18E35-2207-4AB6-8FE2-AF1CEC5EB023}"/>
            </a:ext>
          </a:extLst>
        </xdr:cNvPr>
        <xdr:cNvCxnSpPr/>
      </xdr:nvCxnSpPr>
      <xdr:spPr>
        <a:xfrm flipH="1" flipV="1">
          <a:off x="7848654" y="62367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2066927</xdr:colOff>
      <xdr:row>0</xdr:row>
      <xdr:rowOff>62367</xdr:rowOff>
    </xdr:from>
    <xdr:to>
      <xdr:col>2</xdr:col>
      <xdr:colOff>2068608</xdr:colOff>
      <xdr:row>0</xdr:row>
      <xdr:rowOff>546999</xdr:rowOff>
    </xdr:to>
    <xdr:cxnSp macro="">
      <xdr:nvCxnSpPr>
        <xdr:cNvPr id="8" name="Lien droit 16">
          <a:extLst>
            <a:ext uri="{FF2B5EF4-FFF2-40B4-BE49-F238E27FC236}">
              <a16:creationId xmlns:a16="http://schemas.microsoft.com/office/drawing/2014/main" id="{315930D8-B19A-4DA5-A110-E7704A5E0FCF}"/>
            </a:ext>
          </a:extLst>
        </xdr:cNvPr>
        <xdr:cNvCxnSpPr/>
      </xdr:nvCxnSpPr>
      <xdr:spPr>
        <a:xfrm flipH="1" flipV="1">
          <a:off x="4721680" y="62367"/>
          <a:ext cx="1681" cy="484632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547027</xdr:colOff>
      <xdr:row>0</xdr:row>
      <xdr:rowOff>62367</xdr:rowOff>
    </xdr:from>
    <xdr:to>
      <xdr:col>5</xdr:col>
      <xdr:colOff>548708</xdr:colOff>
      <xdr:row>0</xdr:row>
      <xdr:rowOff>544834</xdr:rowOff>
    </xdr:to>
    <xdr:cxnSp macro="">
      <xdr:nvCxnSpPr>
        <xdr:cNvPr id="10" name="Lien droit 13">
          <a:extLst>
            <a:ext uri="{FF2B5EF4-FFF2-40B4-BE49-F238E27FC236}">
              <a16:creationId xmlns:a16="http://schemas.microsoft.com/office/drawing/2014/main" id="{ED07D578-A47C-4CD8-B2B3-7F3A42BC11B2}"/>
            </a:ext>
          </a:extLst>
        </xdr:cNvPr>
        <xdr:cNvCxnSpPr/>
      </xdr:nvCxnSpPr>
      <xdr:spPr>
        <a:xfrm flipH="1" flipV="1">
          <a:off x="7849981" y="62367"/>
          <a:ext cx="1681" cy="482467"/>
        </a:xfrm>
        <a:prstGeom prst="line">
          <a:avLst/>
        </a:prstGeom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9662F3-FF81-40AB-A305-504A00627749}" name="Tableau1" displayName="Tableau1" ref="B6:P45" totalsRowShown="0" headerRowDxfId="21" dataDxfId="19" headerRowBorderDxfId="20">
  <autoFilter ref="B6:P45" xr:uid="{35557D88-2FD8-48FB-B99C-896002D39C59}"/>
  <tableColumns count="15">
    <tableColumn id="1" xr3:uid="{7B9D1140-2899-4340-91FF-D3D0579D29C9}" name="1) information" dataDxfId="18"/>
    <tableColumn id="2" xr3:uid="{752C6F22-1D37-4BA5-A78B-87B81C73BD49}" name="1) Nom de la table" dataDxfId="17"/>
    <tableColumn id="5" xr3:uid="{53CABFC9-2E0B-4078-90F9-92F81970082B}" name="1) Nom du champs" dataDxfId="16"/>
    <tableColumn id="3" xr3:uid="{DE5A3848-71FD-415D-996C-90C62FFCFADE}" name="4) Score" dataDxfId="15" dataCellStyle="Pourcentage">
      <calculatedColumnFormula>IF(COUNTIFS(Tableau1[[#This Row],[3) Taux de non vides]:[3) Qualité des relations]],"&gt;0"),SUMPRODUCT(Tableau1[[#This Row],[3) Taux de non vides]:[3) Qualité des relations]],Tableau1[[#This Row],[2) Taux de non vides]:[2) Qualité des relations]]),"")</calculatedColumnFormula>
    </tableColumn>
    <tableColumn id="19" xr3:uid="{C2F1DD2E-8CC8-48B1-9CE9-99C4D251B085}" name="3) Taux de non vides" dataDxfId="14">
      <calculatedColumnFormula>COUNTIF(#REF!,"")/COUNTIF(#REF!,"&gt; ")</calculatedColumnFormula>
    </tableColumn>
    <tableColumn id="18" xr3:uid="{57167354-C08F-42D4-B067-43B0901B6DB5}" name="3) Taux de couverture2" dataDxfId="13"/>
    <tableColumn id="17" xr3:uid="{12D302B6-CF55-4347-9BAC-10E5748618E9}" name="3) Taux de fiabilité" dataDxfId="12"/>
    <tableColumn id="16" xr3:uid="{41005605-18BD-46E7-95C5-D295EA061115}" name="3) Qualité des relations" dataDxfId="11">
      <calculatedColumnFormula>COUNTIF(#REF!,"ok")/(COUNTA(#REF!)-1)</calculatedColumnFormula>
    </tableColumn>
    <tableColumn id="9" xr3:uid="{7098B7FC-897E-40AF-9D96-0C514B2B6E16}" name="2) Taux de non vides" dataDxfId="10"/>
    <tableColumn id="10" xr3:uid="{CE475DBA-2D2F-49C6-AB29-B167CF54CF42}" name="2) Taux de couverture" dataDxfId="9"/>
    <tableColumn id="11" xr3:uid="{2E31F989-6DAE-4E28-A97D-DA4B036FBE3B}" name="2) Taux de fiabilité" dataDxfId="8"/>
    <tableColumn id="6" xr3:uid="{1E4384D0-CC21-4C78-AD34-AC9AE34B512A}" name="2) Qualité des relations" dataDxfId="7"/>
    <tableColumn id="15" xr3:uid="{DE9C5EAC-B04F-4C75-8A17-574BC8BC1FAC}" name="Notes" dataDxfId="6"/>
    <tableColumn id="7" xr3:uid="{49866FB8-F94E-4E10-B7AE-51E3F1F48581}" name="objectif" dataDxfId="5">
      <calculatedColumnFormula>VLOOKUP(Tableau1[[#This Row],[1) information]],'Tableau de bord'!D:M,10,FALSE)</calculatedColumnFormula>
    </tableColumn>
    <tableColumn id="4" xr3:uid="{C8AD31B2-58D1-4C25-A6F1-7E2C6E78CAFC}" name="Respect tolérance?" dataDxfId="4">
      <calculatedColumnFormula>IF(Tableau1[[#This Row],[4) Score]]&gt;=Tableau1[[#This Row],[objectif]],"oui","non")</calculatedColumnFormula>
    </tableColumn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ersonal Cash Flow Statement">
      <a:dk1>
        <a:srgbClr val="000000"/>
      </a:dk1>
      <a:lt1>
        <a:srgbClr val="FFFFFF"/>
      </a:lt1>
      <a:dk2>
        <a:srgbClr val="1A1A17"/>
      </a:dk2>
      <a:lt2>
        <a:srgbClr val="FAF7F0"/>
      </a:lt2>
      <a:accent1>
        <a:srgbClr val="E58555"/>
      </a:accent1>
      <a:accent2>
        <a:srgbClr val="62A293"/>
      </a:accent2>
      <a:accent3>
        <a:srgbClr val="F7AF4F"/>
      </a:accent3>
      <a:accent4>
        <a:srgbClr val="A7BD6F"/>
      </a:accent4>
      <a:accent5>
        <a:srgbClr val="D5BD85"/>
      </a:accent5>
      <a:accent6>
        <a:srgbClr val="996B7B"/>
      </a:accent6>
      <a:hlink>
        <a:srgbClr val="A7BD6F"/>
      </a:hlink>
      <a:folHlink>
        <a:srgbClr val="996B7B"/>
      </a:folHlink>
    </a:clrScheme>
    <a:fontScheme name="Personal Cash Flow Statement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 tint="0.249977111117893"/>
    <pageSetUpPr autoPageBreaks="0"/>
  </sheetPr>
  <dimension ref="B1:H16"/>
  <sheetViews>
    <sheetView showGridLines="0" zoomScale="80" zoomScaleNormal="80" workbookViewId="0">
      <pane ySplit="1" topLeftCell="A2" activePane="bottomLeft" state="frozen"/>
      <selection pane="bottomLeft" activeCell="A15" sqref="A15:XFD17"/>
    </sheetView>
  </sheetViews>
  <sheetFormatPr baseColWidth="10" defaultColWidth="9.09765625" defaultRowHeight="13" x14ac:dyDescent="0.3"/>
  <cols>
    <col min="1" max="1" width="10" customWidth="1"/>
    <col min="2" max="2" width="34" customWidth="1"/>
    <col min="3" max="3" width="3.59765625" customWidth="1"/>
    <col min="4" max="4" width="34" customWidth="1"/>
    <col min="5" max="5" width="3.59765625" customWidth="1"/>
    <col min="6" max="6" width="34" customWidth="1"/>
    <col min="11" max="11" width="1.69921875" customWidth="1"/>
  </cols>
  <sheetData>
    <row r="1" spans="2:8" s="2" customFormat="1" ht="39" customHeight="1" x14ac:dyDescent="0.3"/>
    <row r="3" spans="2:8" ht="46" x14ac:dyDescent="1">
      <c r="B3" s="4" t="s">
        <v>1</v>
      </c>
    </row>
    <row r="4" spans="2:8" ht="18" customHeight="1" x14ac:dyDescent="0.35">
      <c r="B4" s="77"/>
      <c r="C4" s="77"/>
      <c r="D4" s="77"/>
      <c r="E4" s="77"/>
      <c r="F4" s="77"/>
    </row>
    <row r="5" spans="2:8" ht="9.75" customHeight="1" thickBot="1" x14ac:dyDescent="0.35">
      <c r="B5" s="3"/>
      <c r="C5" s="3"/>
      <c r="D5" s="3"/>
      <c r="E5" s="3"/>
      <c r="F5" s="3"/>
    </row>
    <row r="7" spans="2:8" ht="33.75" customHeight="1" x14ac:dyDescent="0.3">
      <c r="B7" s="7" t="s">
        <v>12</v>
      </c>
      <c r="F7" s="28" t="s">
        <v>7</v>
      </c>
      <c r="H7" s="63"/>
    </row>
    <row r="8" spans="2:8" ht="9.75" customHeight="1" x14ac:dyDescent="0.3">
      <c r="B8" s="5"/>
      <c r="F8" s="1"/>
      <c r="H8" s="64"/>
    </row>
    <row r="9" spans="2:8" ht="120.75" customHeight="1" x14ac:dyDescent="0.3">
      <c r="B9" s="29" t="s">
        <v>13</v>
      </c>
      <c r="F9" s="30" t="s">
        <v>21</v>
      </c>
      <c r="H9" s="65"/>
    </row>
    <row r="13" spans="2:8" x14ac:dyDescent="0.3">
      <c r="B13" s="14"/>
      <c r="D13" s="6" t="s">
        <v>10</v>
      </c>
    </row>
    <row r="15" spans="2:8" x14ac:dyDescent="0.3">
      <c r="B15" s="15">
        <v>0.7</v>
      </c>
      <c r="D15" s="78" t="s">
        <v>11</v>
      </c>
    </row>
    <row r="16" spans="2:8" x14ac:dyDescent="0.3">
      <c r="B16" s="16"/>
      <c r="D16" s="78"/>
    </row>
  </sheetData>
  <mergeCells count="2">
    <mergeCell ref="B4:F4"/>
    <mergeCell ref="D15:D16"/>
  </mergeCells>
  <pageMargins left="0.4" right="0.4" top="0.4" bottom="0.4" header="0.5" footer="0.5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78393-9D73-4054-B0AD-BE0528F630BD}">
  <sheetPr>
    <tabColor rgb="FF0070C0"/>
  </sheetPr>
  <dimension ref="B1:M361"/>
  <sheetViews>
    <sheetView tabSelected="1" zoomScale="50" zoomScaleNormal="50" workbookViewId="0">
      <pane ySplit="1" topLeftCell="A6" activePane="bottomLeft" state="frozen"/>
      <selection pane="bottomLeft" activeCell="K13" sqref="K13"/>
    </sheetView>
  </sheetViews>
  <sheetFormatPr baseColWidth="10" defaultRowHeight="13" x14ac:dyDescent="0.3"/>
  <cols>
    <col min="2" max="2" width="29.59765625" customWidth="1"/>
    <col min="4" max="4" width="49.69921875" style="69" customWidth="1"/>
    <col min="5" max="5" width="2.296875" customWidth="1"/>
    <col min="6" max="6" width="23.796875" customWidth="1"/>
    <col min="7" max="7" width="4.796875" customWidth="1"/>
    <col min="8" max="9" width="20.19921875" customWidth="1"/>
    <col min="10" max="10" width="4.796875" customWidth="1"/>
    <col min="11" max="11" width="35.3984375" customWidth="1"/>
    <col min="12" max="12" width="4.796875" customWidth="1"/>
    <col min="13" max="13" width="21.796875" style="66" customWidth="1"/>
  </cols>
  <sheetData>
    <row r="1" spans="2:13" s="2" customFormat="1" ht="39" customHeight="1" x14ac:dyDescent="0.3"/>
    <row r="2" spans="2:13" x14ac:dyDescent="0.3">
      <c r="D2"/>
      <c r="M2"/>
    </row>
    <row r="3" spans="2:13" x14ac:dyDescent="0.3">
      <c r="D3"/>
      <c r="M3"/>
    </row>
    <row r="4" spans="2:13" ht="31" x14ac:dyDescent="0.3">
      <c r="B4" s="79" t="s">
        <v>35</v>
      </c>
      <c r="C4" s="79"/>
      <c r="D4" s="79"/>
      <c r="E4" s="10"/>
      <c r="F4" s="11">
        <f>COUNTIF($D$11:$D$1048576,"&gt; ")</f>
        <v>0</v>
      </c>
      <c r="M4"/>
    </row>
    <row r="5" spans="2:13" x14ac:dyDescent="0.3">
      <c r="D5"/>
      <c r="M5"/>
    </row>
    <row r="6" spans="2:13" ht="31" x14ac:dyDescent="0.3">
      <c r="B6" s="79" t="s">
        <v>8</v>
      </c>
      <c r="C6" s="79"/>
      <c r="D6" s="79"/>
      <c r="E6" s="10"/>
      <c r="F6" s="11">
        <f>COUNTIF(Tableau1[1) Nom du champs],"&gt; ")</f>
        <v>2</v>
      </c>
      <c r="M6"/>
    </row>
    <row r="7" spans="2:13" x14ac:dyDescent="0.3">
      <c r="D7"/>
      <c r="M7"/>
    </row>
    <row r="8" spans="2:13" ht="31" x14ac:dyDescent="0.3">
      <c r="D8"/>
      <c r="H8" s="80" t="s">
        <v>16</v>
      </c>
      <c r="I8" s="80"/>
      <c r="M8"/>
    </row>
    <row r="9" spans="2:13" ht="93" x14ac:dyDescent="0.3">
      <c r="D9" s="9" t="s">
        <v>34</v>
      </c>
      <c r="E9" s="37" t="str">
        <f>IF(C9&lt;&gt;"",AVERAGEIFS('Données clés'!B:B,'Données clés'!A:A,'Tableau de bord'!$D9),"")</f>
        <v/>
      </c>
      <c r="F9" s="9" t="s">
        <v>9</v>
      </c>
      <c r="H9" s="40" t="s">
        <v>17</v>
      </c>
      <c r="I9" s="40" t="s">
        <v>18</v>
      </c>
      <c r="K9" s="36" t="s">
        <v>20</v>
      </c>
      <c r="M9" s="36" t="s">
        <v>33</v>
      </c>
    </row>
    <row r="10" spans="2:13" ht="28.5" x14ac:dyDescent="0.3">
      <c r="D10" s="53"/>
      <c r="E10" s="37" t="str">
        <f>IF(C10&lt;&gt;"",AVERAGEIFS('Données clés'!B:B,'Données clés'!A:A,'Tableau de bord'!$D10),"")</f>
        <v/>
      </c>
      <c r="M10"/>
    </row>
    <row r="11" spans="2:13" ht="28.5" x14ac:dyDescent="0.3">
      <c r="D11" s="68"/>
      <c r="E11" s="37" t="str">
        <f>IF(C11&lt;&gt;"",AVERAGEIFS('Données clés'!B:B,'Données clés'!A:A,'Tableau de bord'!$D11),"")</f>
        <v/>
      </c>
      <c r="F11" s="37" t="str">
        <f>IF(AND(D11&lt;&gt;"",NOT(ISERROR(_xlfn.MINIFS('Données clés'!E:E,'Données clés'!B:B,'Tableau de bord'!$D11)))),_xlfn.MINIFS('Données clés'!E:E,'Données clés'!B:B,'Tableau de bord'!$D11),"")</f>
        <v/>
      </c>
      <c r="H11" s="88" t="str">
        <f>IF(D11&lt;&gt;"",COUNTIFS('Données clés'!B:B,'Tableau de bord'!D11,'Données clés'!P:P,"oui"),"")</f>
        <v/>
      </c>
      <c r="I11" s="88" t="str">
        <f>IF(D11&lt;&gt;"",COUNTIFS('Données clés'!B:B,'Tableau de bord'!D11,'Données clés'!P:P,"non"),"")</f>
        <v/>
      </c>
      <c r="K11" s="88" t="str">
        <f>IF(D11&lt;&gt;"",COUNTIFS('Données clés'!B:B,'Tableau de bord'!D11),"")</f>
        <v/>
      </c>
      <c r="M11" s="67">
        <v>0.95</v>
      </c>
    </row>
    <row r="12" spans="2:13" ht="28.5" x14ac:dyDescent="0.3">
      <c r="D12" s="68"/>
      <c r="E12" s="37" t="str">
        <f>IF(C12&lt;&gt;"",AVERAGEIFS('Données clés'!B:B,'Données clés'!A:A,'Tableau de bord'!$D12),"")</f>
        <v/>
      </c>
      <c r="F12" s="37" t="str">
        <f>IF(AND(D12&lt;&gt;"",NOT(ISERROR(_xlfn.MINIFS('Données clés'!E:E,'Données clés'!B:B,'Tableau de bord'!$D12)))),_xlfn.MINIFS('Données clés'!E:E,'Données clés'!B:B,'Tableau de bord'!$D12),"")</f>
        <v/>
      </c>
      <c r="H12" s="88" t="str">
        <f>IF(D12&lt;&gt;"",COUNTIFS('Données clés'!B:B,'Tableau de bord'!D12,'Données clés'!P:P,"oui"),"")</f>
        <v/>
      </c>
      <c r="I12" s="88" t="str">
        <f>IF(D12&lt;&gt;"",COUNTIFS('Données clés'!B:B,'Tableau de bord'!D12,'Données clés'!P:P,"non"),"")</f>
        <v/>
      </c>
      <c r="K12" s="88" t="str">
        <f>IF(D12&lt;&gt;"",COUNTIFS('Données clés'!B:B,'Tableau de bord'!D12),"")</f>
        <v/>
      </c>
      <c r="M12" s="67">
        <v>0.91</v>
      </c>
    </row>
    <row r="13" spans="2:13" ht="28.5" x14ac:dyDescent="0.3">
      <c r="D13"/>
      <c r="E13" s="37" t="str">
        <f>IF(C13&lt;&gt;"",AVERAGEIFS('Données clés'!B:B,'Données clés'!A:A,'Tableau de bord'!$D13),"")</f>
        <v/>
      </c>
      <c r="F13" s="37" t="str">
        <f>IF(AND(D13&lt;&gt;"",NOT(ISERROR(_xlfn.MINIFS('Données clés'!E:E,'Données clés'!B:B,'Tableau de bord'!$D13)))),_xlfn.MINIFS('Données clés'!E:E,'Données clés'!B:B,'Tableau de bord'!$D13),"")</f>
        <v/>
      </c>
      <c r="H13" s="88" t="str">
        <f>IF(D13&lt;&gt;"",COUNTIFS('Données clés'!B:B,'Tableau de bord'!D13,'Données clés'!P:P,"oui"),"")</f>
        <v/>
      </c>
      <c r="I13" s="88" t="str">
        <f>IF(D13&lt;&gt;"",COUNTIFS('Données clés'!B:B,'Tableau de bord'!D13,'Données clés'!P:P,"non"),"")</f>
        <v/>
      </c>
      <c r="K13" s="88" t="str">
        <f>IF(D13&lt;&gt;"",COUNTIFS('Données clés'!B:B,'Tableau de bord'!D13),"")</f>
        <v/>
      </c>
      <c r="M13" s="67"/>
    </row>
    <row r="14" spans="2:13" ht="28.5" x14ac:dyDescent="0.3">
      <c r="D14"/>
      <c r="E14" s="37" t="str">
        <f>IF(C14&lt;&gt;"",AVERAGEIFS('Données clés'!B:B,'Données clés'!A:A,'Tableau de bord'!$D14),"")</f>
        <v/>
      </c>
      <c r="F14" s="37" t="str">
        <f>IF(AND(D14&lt;&gt;"",NOT(ISERROR(_xlfn.MINIFS('Données clés'!E:E,'Données clés'!B:B,'Tableau de bord'!$D14)))),_xlfn.MINIFS('Données clés'!E:E,'Données clés'!B:B,'Tableau de bord'!$D14),"")</f>
        <v/>
      </c>
      <c r="H14" s="88" t="str">
        <f>IF(D14&lt;&gt;"",COUNTIFS('Données clés'!B:B,'Tableau de bord'!D14,'Données clés'!P:P,"oui"),"")</f>
        <v/>
      </c>
      <c r="I14" s="88" t="str">
        <f>IF(D14&lt;&gt;"",COUNTIFS('Données clés'!B:B,'Tableau de bord'!D14,'Données clés'!P:P,"non"),"")</f>
        <v/>
      </c>
      <c r="K14" s="88" t="str">
        <f>IF(D14&lt;&gt;"",COUNTIFS('Données clés'!B:B,'Tableau de bord'!D14),"")</f>
        <v/>
      </c>
      <c r="M14" s="67"/>
    </row>
    <row r="15" spans="2:13" ht="28.5" x14ac:dyDescent="0.3">
      <c r="D15"/>
      <c r="E15" s="37" t="str">
        <f>IF(C15&lt;&gt;"",AVERAGEIFS('Données clés'!B:B,'Données clés'!A:A,'Tableau de bord'!$D15),"")</f>
        <v/>
      </c>
      <c r="F15" s="37" t="str">
        <f>IF(AND(D15&lt;&gt;"",NOT(ISERROR(_xlfn.MINIFS('Données clés'!E:E,'Données clés'!B:B,'Tableau de bord'!$D15)))),_xlfn.MINIFS('Données clés'!E:E,'Données clés'!B:B,'Tableau de bord'!$D15),"")</f>
        <v/>
      </c>
      <c r="G15" s="37"/>
      <c r="H15" s="88" t="str">
        <f>IF(D15&lt;&gt;"",COUNTIFS('Données clés'!B:B,'Tableau de bord'!D15,'Données clés'!P:P,"oui"),"")</f>
        <v/>
      </c>
      <c r="I15" s="88" t="str">
        <f>IF(D15&lt;&gt;"",COUNTIFS('Données clés'!B:B,'Tableau de bord'!D15,'Données clés'!P:P,"non"),"")</f>
        <v/>
      </c>
      <c r="K15" s="88" t="str">
        <f>IF(D15&lt;&gt;"",COUNTIFS('Données clés'!B:B,'Tableau de bord'!D15),"")</f>
        <v/>
      </c>
      <c r="M15" s="67"/>
    </row>
    <row r="16" spans="2:13" ht="28.5" x14ac:dyDescent="0.3">
      <c r="D16"/>
      <c r="E16" s="37" t="str">
        <f>IF(C16&lt;&gt;"",AVERAGEIFS('Données clés'!B:B,'Données clés'!A:A,'Tableau de bord'!$D16),"")</f>
        <v/>
      </c>
      <c r="F16" s="37" t="str">
        <f>IF(AND(D16&lt;&gt;"",NOT(ISERROR(_xlfn.MINIFS('Données clés'!E:E,'Données clés'!B:B,'Tableau de bord'!$D16)))),_xlfn.MINIFS('Données clés'!E:E,'Données clés'!B:B,'Tableau de bord'!$D16),"")</f>
        <v/>
      </c>
      <c r="G16" s="37"/>
      <c r="H16" s="88" t="str">
        <f>IF(D16&lt;&gt;"",COUNTIFS('Données clés'!B:B,'Tableau de bord'!D16,'Données clés'!P:P,"oui"),"")</f>
        <v/>
      </c>
      <c r="I16" s="88" t="str">
        <f>IF(D16&lt;&gt;"",COUNTIFS('Données clés'!B:B,'Tableau de bord'!D16,'Données clés'!P:P,"non"),"")</f>
        <v/>
      </c>
      <c r="K16" s="88" t="str">
        <f>IF(D16&lt;&gt;"",COUNTIFS('Données clés'!B:B,'Tableau de bord'!D16),"")</f>
        <v/>
      </c>
      <c r="M16" s="67"/>
    </row>
    <row r="17" spans="4:13" ht="28.5" x14ac:dyDescent="0.3">
      <c r="D17"/>
      <c r="E17" s="37" t="str">
        <f>IF(C17&lt;&gt;"",AVERAGEIFS('Données clés'!B:B,'Données clés'!A:A,'Tableau de bord'!$D17),"")</f>
        <v/>
      </c>
      <c r="F17" s="37" t="str">
        <f>IF(AND(D17&lt;&gt;"",NOT(ISERROR(_xlfn.MINIFS('Données clés'!E:E,'Données clés'!B:B,'Tableau de bord'!$D17)))),_xlfn.MINIFS('Données clés'!E:E,'Données clés'!B:B,'Tableau de bord'!$D17),"")</f>
        <v/>
      </c>
      <c r="G17" s="37"/>
      <c r="H17" s="88" t="str">
        <f>IF(D17&lt;&gt;"",COUNTIFS('Données clés'!B:B,'Tableau de bord'!D17,'Données clés'!P:P,"oui"),"")</f>
        <v/>
      </c>
      <c r="I17" s="88" t="str">
        <f>IF(D17&lt;&gt;"",COUNTIFS('Données clés'!B:B,'Tableau de bord'!D17,'Données clés'!P:P,"non"),"")</f>
        <v/>
      </c>
      <c r="K17" s="88" t="str">
        <f>IF(D17&lt;&gt;"",COUNTIFS('Données clés'!B:B,'Tableau de bord'!D17),"")</f>
        <v/>
      </c>
      <c r="M17" s="67"/>
    </row>
    <row r="18" spans="4:13" ht="28.5" x14ac:dyDescent="0.3">
      <c r="D18"/>
      <c r="E18" s="37" t="str">
        <f>IF(C18&lt;&gt;"",AVERAGEIFS('Données clés'!B:B,'Données clés'!A:A,'Tableau de bord'!$D18),"")</f>
        <v/>
      </c>
      <c r="F18" s="37" t="str">
        <f>IF(AND(D18&lt;&gt;"",NOT(ISERROR(_xlfn.MINIFS('Données clés'!E:E,'Données clés'!B:B,'Tableau de bord'!$D18)))),_xlfn.MINIFS('Données clés'!E:E,'Données clés'!B:B,'Tableau de bord'!$D18),"")</f>
        <v/>
      </c>
      <c r="G18" s="37"/>
      <c r="H18" s="88" t="str">
        <f>IF(D18&lt;&gt;"",COUNTIFS('Données clés'!B:B,'Tableau de bord'!D18,'Données clés'!P:P,"oui"),"")</f>
        <v/>
      </c>
      <c r="I18" s="88" t="str">
        <f>IF(D18&lt;&gt;"",COUNTIFS('Données clés'!B:B,'Tableau de bord'!D18,'Données clés'!P:P,"non"),"")</f>
        <v/>
      </c>
      <c r="K18" s="88" t="str">
        <f>IF(D18&lt;&gt;"",COUNTIFS('Données clés'!B:B,'Tableau de bord'!D18),"")</f>
        <v/>
      </c>
      <c r="M18" s="67"/>
    </row>
    <row r="19" spans="4:13" ht="28.5" x14ac:dyDescent="0.3">
      <c r="D19"/>
      <c r="E19" s="37" t="str">
        <f>IF(C19&lt;&gt;"",AVERAGEIFS('Données clés'!B:B,'Données clés'!A:A,'Tableau de bord'!$D19),"")</f>
        <v/>
      </c>
      <c r="F19" s="37" t="str">
        <f>IF(AND(D19&lt;&gt;"",NOT(ISERROR(_xlfn.MINIFS('Données clés'!E:E,'Données clés'!B:B,'Tableau de bord'!$D19)))),_xlfn.MINIFS('Données clés'!E:E,'Données clés'!B:B,'Tableau de bord'!$D19),"")</f>
        <v/>
      </c>
      <c r="G19" s="37"/>
      <c r="H19" s="88" t="str">
        <f>IF(D19&lt;&gt;"",COUNTIFS('Données clés'!B:B,'Tableau de bord'!D19,'Données clés'!P:P,"oui"),"")</f>
        <v/>
      </c>
      <c r="I19" s="88" t="str">
        <f>IF(D19&lt;&gt;"",COUNTIFS('Données clés'!B:B,'Tableau de bord'!D19,'Données clés'!P:P,"non"),"")</f>
        <v/>
      </c>
      <c r="K19" s="88" t="str">
        <f>IF(D19&lt;&gt;"",COUNTIFS('Données clés'!B:B,'Tableau de bord'!D19),"")</f>
        <v/>
      </c>
      <c r="M19" s="67"/>
    </row>
    <row r="20" spans="4:13" ht="28.5" x14ac:dyDescent="0.3">
      <c r="D20"/>
      <c r="E20" s="37" t="str">
        <f>IF(C20&lt;&gt;"",AVERAGEIFS('Données clés'!B:B,'Données clés'!A:A,'Tableau de bord'!$D20),"")</f>
        <v/>
      </c>
      <c r="F20" s="37" t="str">
        <f>IF(AND(D20&lt;&gt;"",NOT(ISERROR(_xlfn.MINIFS('Données clés'!E:E,'Données clés'!B:B,'Tableau de bord'!$D20)))),_xlfn.MINIFS('Données clés'!E:E,'Données clés'!B:B,'Tableau de bord'!$D20),"")</f>
        <v/>
      </c>
      <c r="G20" s="37"/>
      <c r="H20" s="88" t="str">
        <f>IF(D20&lt;&gt;"",COUNTIFS('Données clés'!B:B,'Tableau de bord'!D20,'Données clés'!P:P,"oui"),"")</f>
        <v/>
      </c>
      <c r="I20" s="88" t="str">
        <f>IF(D20&lt;&gt;"",COUNTIFS('Données clés'!B:B,'Tableau de bord'!D20,'Données clés'!P:P,"non"),"")</f>
        <v/>
      </c>
      <c r="K20" s="88" t="str">
        <f>IF(D20&lt;&gt;"",COUNTIFS('Données clés'!B:B,'Tableau de bord'!D20),"")</f>
        <v/>
      </c>
      <c r="M20" s="67"/>
    </row>
    <row r="21" spans="4:13" ht="28.5" x14ac:dyDescent="0.3">
      <c r="D21"/>
      <c r="E21" s="37" t="str">
        <f>IF(C21&lt;&gt;"",AVERAGEIFS('Données clés'!B:B,'Données clés'!A:A,'Tableau de bord'!$D21),"")</f>
        <v/>
      </c>
      <c r="F21" s="37" t="str">
        <f>IF(AND(D21&lt;&gt;"",NOT(ISERROR(_xlfn.MINIFS('Données clés'!E:E,'Données clés'!B:B,'Tableau de bord'!$D21)))),_xlfn.MINIFS('Données clés'!E:E,'Données clés'!B:B,'Tableau de bord'!$D21),"")</f>
        <v/>
      </c>
      <c r="G21" s="37"/>
      <c r="H21" s="88" t="str">
        <f>IF(D21&lt;&gt;"",COUNTIFS('Données clés'!B:B,'Tableau de bord'!D21,'Données clés'!P:P,"oui"),"")</f>
        <v/>
      </c>
      <c r="I21" s="88" t="str">
        <f>IF(D21&lt;&gt;"",COUNTIFS('Données clés'!B:B,'Tableau de bord'!D21,'Données clés'!P:P,"non"),"")</f>
        <v/>
      </c>
      <c r="K21" s="88" t="str">
        <f>IF(D21&lt;&gt;"",COUNTIFS('Données clés'!B:B,'Tableau de bord'!D21),"")</f>
        <v/>
      </c>
      <c r="M21" s="67"/>
    </row>
    <row r="22" spans="4:13" ht="28.5" x14ac:dyDescent="0.3">
      <c r="D22"/>
      <c r="E22" s="37" t="str">
        <f>IF(C22&lt;&gt;"",AVERAGEIFS('Données clés'!B:B,'Données clés'!A:A,'Tableau de bord'!$D22),"")</f>
        <v/>
      </c>
      <c r="F22" s="37" t="str">
        <f>IF(AND(D22&lt;&gt;"",NOT(ISERROR(_xlfn.MINIFS('Données clés'!E:E,'Données clés'!B:B,'Tableau de bord'!$D22)))),_xlfn.MINIFS('Données clés'!E:E,'Données clés'!B:B,'Tableau de bord'!$D22),"")</f>
        <v/>
      </c>
      <c r="G22" s="37"/>
      <c r="H22" s="88" t="str">
        <f>IF(D22&lt;&gt;"",COUNTIFS('Données clés'!B:B,'Tableau de bord'!D22,'Données clés'!P:P,"oui"),"")</f>
        <v/>
      </c>
      <c r="I22" s="88" t="str">
        <f>IF(D22&lt;&gt;"",COUNTIFS('Données clés'!B:B,'Tableau de bord'!D22,'Données clés'!P:P,"non"),"")</f>
        <v/>
      </c>
      <c r="K22" s="88" t="str">
        <f>IF(D22&lt;&gt;"",COUNTIFS('Données clés'!B:B,'Tableau de bord'!D22),"")</f>
        <v/>
      </c>
      <c r="M22" s="67"/>
    </row>
    <row r="23" spans="4:13" ht="28.5" x14ac:dyDescent="0.3">
      <c r="D23"/>
      <c r="E23" s="37" t="str">
        <f>IF(C23&lt;&gt;"",AVERAGEIFS('Données clés'!B:B,'Données clés'!A:A,'Tableau de bord'!$D23),"")</f>
        <v/>
      </c>
      <c r="F23" s="37" t="str">
        <f>IF(AND(D23&lt;&gt;"",NOT(ISERROR(_xlfn.MINIFS('Données clés'!E:E,'Données clés'!B:B,'Tableau de bord'!$D23)))),_xlfn.MINIFS('Données clés'!E:E,'Données clés'!B:B,'Tableau de bord'!$D23),"")</f>
        <v/>
      </c>
      <c r="G23" s="37"/>
      <c r="H23" s="88" t="str">
        <f>IF(D23&lt;&gt;"",COUNTIFS('Données clés'!B:B,'Tableau de bord'!D23,'Données clés'!P:P,"oui"),"")</f>
        <v/>
      </c>
      <c r="I23" s="88" t="str">
        <f>IF(D23&lt;&gt;"",COUNTIFS('Données clés'!B:B,'Tableau de bord'!D23,'Données clés'!P:P,"non"),"")</f>
        <v/>
      </c>
      <c r="K23" s="88" t="str">
        <f>IF(D23&lt;&gt;"",COUNTIFS('Données clés'!B:B,'Tableau de bord'!D23),"")</f>
        <v/>
      </c>
      <c r="M23" s="67"/>
    </row>
    <row r="24" spans="4:13" ht="28.5" x14ac:dyDescent="0.3">
      <c r="D24"/>
      <c r="E24" s="37" t="str">
        <f>IF(C24&lt;&gt;"",AVERAGEIFS('Données clés'!B:B,'Données clés'!A:A,'Tableau de bord'!$D24),"")</f>
        <v/>
      </c>
      <c r="F24" s="37" t="str">
        <f>IF(AND(D24&lt;&gt;"",NOT(ISERROR(_xlfn.MINIFS('Données clés'!E:E,'Données clés'!B:B,'Tableau de bord'!$D24)))),_xlfn.MINIFS('Données clés'!E:E,'Données clés'!B:B,'Tableau de bord'!$D24),"")</f>
        <v/>
      </c>
      <c r="G24" s="37"/>
      <c r="H24" s="88" t="str">
        <f>IF(D24&lt;&gt;"",COUNTIFS('Données clés'!B:B,'Tableau de bord'!D24,'Données clés'!P:P,"oui"),"")</f>
        <v/>
      </c>
      <c r="I24" s="88" t="str">
        <f>IF(D24&lt;&gt;"",COUNTIFS('Données clés'!B:B,'Tableau de bord'!D24,'Données clés'!P:P,"non"),"")</f>
        <v/>
      </c>
      <c r="K24" s="88" t="str">
        <f>IF(D24&lt;&gt;"",COUNTIFS('Données clés'!B:B,'Tableau de bord'!D24),"")</f>
        <v/>
      </c>
      <c r="M24" s="67"/>
    </row>
    <row r="25" spans="4:13" ht="28.5" x14ac:dyDescent="0.3">
      <c r="D25"/>
      <c r="E25" s="37" t="str">
        <f>IF(C25&lt;&gt;"",AVERAGEIFS('Données clés'!B:B,'Données clés'!A:A,'Tableau de bord'!$D25),"")</f>
        <v/>
      </c>
      <c r="F25" s="37" t="str">
        <f>IF(AND(D25&lt;&gt;"",NOT(ISERROR(_xlfn.MINIFS('Données clés'!E:E,'Données clés'!B:B,'Tableau de bord'!$D25)))),_xlfn.MINIFS('Données clés'!E:E,'Données clés'!B:B,'Tableau de bord'!$D25),"")</f>
        <v/>
      </c>
      <c r="G25" s="37"/>
      <c r="H25" s="88" t="str">
        <f>IF(D25&lt;&gt;"",COUNTIFS('Données clés'!B:B,'Tableau de bord'!D25,'Données clés'!P:P,"oui"),"")</f>
        <v/>
      </c>
      <c r="I25" s="88" t="str">
        <f>IF(D25&lt;&gt;"",COUNTIFS('Données clés'!B:B,'Tableau de bord'!D25,'Données clés'!P:P,"non"),"")</f>
        <v/>
      </c>
      <c r="K25" s="88" t="str">
        <f>IF(D25&lt;&gt;"",COUNTIFS('Données clés'!B:B,'Tableau de bord'!D25),"")</f>
        <v/>
      </c>
      <c r="M25" s="67"/>
    </row>
    <row r="26" spans="4:13" ht="28.5" x14ac:dyDescent="0.3">
      <c r="D26"/>
      <c r="E26" s="37" t="str">
        <f>IF(C26&lt;&gt;"",AVERAGEIFS('Données clés'!B:B,'Données clés'!A:A,'Tableau de bord'!$D26),"")</f>
        <v/>
      </c>
      <c r="F26" s="37" t="str">
        <f>IF(AND(D26&lt;&gt;"",NOT(ISERROR(_xlfn.MINIFS('Données clés'!E:E,'Données clés'!B:B,'Tableau de bord'!$D26)))),_xlfn.MINIFS('Données clés'!E:E,'Données clés'!B:B,'Tableau de bord'!$D26),"")</f>
        <v/>
      </c>
      <c r="G26" s="37"/>
      <c r="H26" s="88" t="str">
        <f>IF(D26&lt;&gt;"",COUNTIFS('Données clés'!B:B,'Tableau de bord'!D26,'Données clés'!P:P,"oui"),"")</f>
        <v/>
      </c>
      <c r="I26" s="88" t="str">
        <f>IF(D26&lt;&gt;"",COUNTIFS('Données clés'!B:B,'Tableau de bord'!D26,'Données clés'!P:P,"non"),"")</f>
        <v/>
      </c>
      <c r="K26" s="88" t="str">
        <f>IF(D26&lt;&gt;"",COUNTIFS('Données clés'!B:B,'Tableau de bord'!D26),"")</f>
        <v/>
      </c>
      <c r="M26" s="67"/>
    </row>
    <row r="27" spans="4:13" ht="28.5" x14ac:dyDescent="0.3">
      <c r="D27"/>
      <c r="E27" s="37" t="str">
        <f>IF(C27&lt;&gt;"",AVERAGEIFS('Données clés'!B:B,'Données clés'!A:A,'Tableau de bord'!$D27),"")</f>
        <v/>
      </c>
      <c r="F27" s="37" t="str">
        <f>IF(AND(D27&lt;&gt;"",NOT(ISERROR(_xlfn.MINIFS('Données clés'!E:E,'Données clés'!B:B,'Tableau de bord'!$D27)))),_xlfn.MINIFS('Données clés'!E:E,'Données clés'!B:B,'Tableau de bord'!$D27),"")</f>
        <v/>
      </c>
      <c r="G27" s="37"/>
      <c r="H27" s="88" t="str">
        <f>IF(D27&lt;&gt;"",COUNTIFS('Données clés'!B:B,'Tableau de bord'!D27,'Données clés'!P:P,"oui"),"")</f>
        <v/>
      </c>
      <c r="I27" s="88" t="str">
        <f>IF(D27&lt;&gt;"",COUNTIFS('Données clés'!B:B,'Tableau de bord'!D27,'Données clés'!P:P,"non"),"")</f>
        <v/>
      </c>
      <c r="K27" s="88" t="str">
        <f>IF(D27&lt;&gt;"",COUNTIFS('Données clés'!B:B,'Tableau de bord'!D27),"")</f>
        <v/>
      </c>
      <c r="M27" s="67"/>
    </row>
    <row r="28" spans="4:13" ht="28.5" x14ac:dyDescent="0.3">
      <c r="D28"/>
      <c r="E28" s="37" t="str">
        <f>IF(C28&lt;&gt;"",AVERAGEIFS('Données clés'!B:B,'Données clés'!A:A,'Tableau de bord'!$D28),"")</f>
        <v/>
      </c>
      <c r="F28" s="37" t="str">
        <f>IF(AND(D28&lt;&gt;"",NOT(ISERROR(_xlfn.MINIFS('Données clés'!E:E,'Données clés'!B:B,'Tableau de bord'!$D28)))),_xlfn.MINIFS('Données clés'!E:E,'Données clés'!B:B,'Tableau de bord'!$D28),"")</f>
        <v/>
      </c>
      <c r="G28" s="37"/>
      <c r="H28" s="88" t="str">
        <f>IF(D28&lt;&gt;"",COUNTIFS('Données clés'!B:B,'Tableau de bord'!D28,'Données clés'!P:P,"oui"),"")</f>
        <v/>
      </c>
      <c r="I28" s="88" t="str">
        <f>IF(D28&lt;&gt;"",COUNTIFS('Données clés'!B:B,'Tableau de bord'!D28,'Données clés'!P:P,"non"),"")</f>
        <v/>
      </c>
      <c r="K28" s="88" t="str">
        <f>IF(D28&lt;&gt;"",COUNTIFS('Données clés'!B:B,'Tableau de bord'!D28),"")</f>
        <v/>
      </c>
      <c r="M28" s="67"/>
    </row>
    <row r="29" spans="4:13" ht="28.5" x14ac:dyDescent="0.3">
      <c r="D29"/>
      <c r="E29" s="37" t="str">
        <f>IF(C29&lt;&gt;"",AVERAGEIFS('Données clés'!B:B,'Données clés'!A:A,'Tableau de bord'!$D29),"")</f>
        <v/>
      </c>
      <c r="F29" s="37" t="str">
        <f>IF(AND(D29&lt;&gt;"",NOT(ISERROR(_xlfn.MINIFS('Données clés'!E:E,'Données clés'!B:B,'Tableau de bord'!$D29)))),_xlfn.MINIFS('Données clés'!E:E,'Données clés'!B:B,'Tableau de bord'!$D29),"")</f>
        <v/>
      </c>
      <c r="G29" s="37"/>
      <c r="H29" s="88" t="str">
        <f>IF(D29&lt;&gt;"",COUNTIFS('Données clés'!B:B,'Tableau de bord'!D29,'Données clés'!P:P,"oui"),"")</f>
        <v/>
      </c>
      <c r="I29" s="88" t="str">
        <f>IF(D29&lt;&gt;"",COUNTIFS('Données clés'!B:B,'Tableau de bord'!D29,'Données clés'!P:P,"non"),"")</f>
        <v/>
      </c>
      <c r="K29" s="88" t="str">
        <f>IF(D29&lt;&gt;"",COUNTIFS('Données clés'!B:B,'Tableau de bord'!D29),"")</f>
        <v/>
      </c>
      <c r="M29" s="67"/>
    </row>
    <row r="30" spans="4:13" ht="28.5" x14ac:dyDescent="0.3">
      <c r="D30"/>
      <c r="E30" s="37" t="str">
        <f>IF(C30&lt;&gt;"",AVERAGEIFS('Données clés'!B:B,'Données clés'!A:A,'Tableau de bord'!$D30),"")</f>
        <v/>
      </c>
      <c r="F30" s="37" t="str">
        <f>IF(AND(D30&lt;&gt;"",NOT(ISERROR(_xlfn.MINIFS('Données clés'!E:E,'Données clés'!B:B,'Tableau de bord'!$D30)))),_xlfn.MINIFS('Données clés'!E:E,'Données clés'!B:B,'Tableau de bord'!$D30),"")</f>
        <v/>
      </c>
      <c r="G30" s="37"/>
      <c r="H30" s="88" t="str">
        <f>IF(D30&lt;&gt;"",COUNTIFS('Données clés'!B:B,'Tableau de bord'!D30,'Données clés'!P:P,"oui"),"")</f>
        <v/>
      </c>
      <c r="I30" s="88" t="str">
        <f>IF(D30&lt;&gt;"",COUNTIFS('Données clés'!B:B,'Tableau de bord'!D30,'Données clés'!P:P,"non"),"")</f>
        <v/>
      </c>
      <c r="K30" s="88" t="str">
        <f>IF(D30&lt;&gt;"",COUNTIFS('Données clés'!B:B,'Tableau de bord'!D30),"")</f>
        <v/>
      </c>
      <c r="M30" s="67"/>
    </row>
    <row r="31" spans="4:13" ht="28.5" x14ac:dyDescent="0.3">
      <c r="D31"/>
      <c r="E31" s="37" t="str">
        <f>IF(C31&lt;&gt;"",AVERAGEIFS('Données clés'!B:B,'Données clés'!A:A,'Tableau de bord'!$D31),"")</f>
        <v/>
      </c>
      <c r="F31" s="37" t="str">
        <f>IF(AND(D31&lt;&gt;"",NOT(ISERROR(_xlfn.MINIFS('Données clés'!E:E,'Données clés'!B:B,'Tableau de bord'!$D31)))),_xlfn.MINIFS('Données clés'!E:E,'Données clés'!B:B,'Tableau de bord'!$D31),"")</f>
        <v/>
      </c>
      <c r="G31" s="37"/>
      <c r="H31" s="88" t="str">
        <f>IF(D31&lt;&gt;"",COUNTIFS('Données clés'!B:B,'Tableau de bord'!D31,'Données clés'!P:P,"oui"),"")</f>
        <v/>
      </c>
      <c r="I31" s="88" t="str">
        <f>IF(D31&lt;&gt;"",COUNTIFS('Données clés'!B:B,'Tableau de bord'!D31,'Données clés'!P:P,"non"),"")</f>
        <v/>
      </c>
      <c r="K31" s="88" t="str">
        <f>IF(D31&lt;&gt;"",COUNTIFS('Données clés'!B:B,'Tableau de bord'!D31),"")</f>
        <v/>
      </c>
      <c r="M31" s="67"/>
    </row>
    <row r="32" spans="4:13" ht="28.5" x14ac:dyDescent="0.3">
      <c r="D32"/>
      <c r="E32" s="37" t="str">
        <f>IF(C32&lt;&gt;"",AVERAGEIFS('Données clés'!B:B,'Données clés'!A:A,'Tableau de bord'!$D32),"")</f>
        <v/>
      </c>
      <c r="F32" s="37" t="str">
        <f>IF(AND(D32&lt;&gt;"",NOT(ISERROR(_xlfn.MINIFS('Données clés'!E:E,'Données clés'!B:B,'Tableau de bord'!$D32)))),_xlfn.MINIFS('Données clés'!E:E,'Données clés'!B:B,'Tableau de bord'!$D32),"")</f>
        <v/>
      </c>
      <c r="G32" s="37"/>
      <c r="H32" s="88" t="str">
        <f>IF(D32&lt;&gt;"",COUNTIFS('Données clés'!B:B,'Tableau de bord'!D32,'Données clés'!P:P,"oui"),"")</f>
        <v/>
      </c>
      <c r="I32" s="88" t="str">
        <f>IF(D32&lt;&gt;"",COUNTIFS('Données clés'!B:B,'Tableau de bord'!D32,'Données clés'!P:P,"non"),"")</f>
        <v/>
      </c>
      <c r="K32" s="88" t="str">
        <f>IF(D32&lt;&gt;"",COUNTIFS('Données clés'!B:B,'Tableau de bord'!D32),"")</f>
        <v/>
      </c>
      <c r="M32" s="67"/>
    </row>
    <row r="33" spans="4:13" ht="28.5" x14ac:dyDescent="0.3">
      <c r="D33"/>
      <c r="E33" s="37" t="str">
        <f>IF(C33&lt;&gt;"",AVERAGEIFS('Données clés'!B:B,'Données clés'!A:A,'Tableau de bord'!$D33),"")</f>
        <v/>
      </c>
      <c r="F33" s="37" t="str">
        <f>IF(AND(D33&lt;&gt;"",NOT(ISERROR(_xlfn.MINIFS('Données clés'!E:E,'Données clés'!B:B,'Tableau de bord'!$D33)))),_xlfn.MINIFS('Données clés'!E:E,'Données clés'!B:B,'Tableau de bord'!$D33),"")</f>
        <v/>
      </c>
      <c r="G33" s="37"/>
      <c r="H33" s="88" t="str">
        <f>IF(D33&lt;&gt;"",COUNTIFS('Données clés'!B:B,'Tableau de bord'!D33,'Données clés'!P:P,"oui"),"")</f>
        <v/>
      </c>
      <c r="I33" s="88" t="str">
        <f>IF(D33&lt;&gt;"",COUNTIFS('Données clés'!B:B,'Tableau de bord'!D33,'Données clés'!P:P,"non"),"")</f>
        <v/>
      </c>
      <c r="K33" s="88" t="str">
        <f>IF(D33&lt;&gt;"",COUNTIFS('Données clés'!B:B,'Tableau de bord'!D33),"")</f>
        <v/>
      </c>
      <c r="M33" s="67"/>
    </row>
    <row r="34" spans="4:13" ht="28.5" x14ac:dyDescent="0.3">
      <c r="D34"/>
      <c r="E34" s="37" t="str">
        <f>IF(C34&lt;&gt;"",AVERAGEIFS('Données clés'!B:B,'Données clés'!A:A,'Tableau de bord'!$D34),"")</f>
        <v/>
      </c>
      <c r="F34" s="37" t="str">
        <f>IF(AND(D34&lt;&gt;"",NOT(ISERROR(_xlfn.MINIFS('Données clés'!E:E,'Données clés'!B:B,'Tableau de bord'!$D34)))),_xlfn.MINIFS('Données clés'!E:E,'Données clés'!B:B,'Tableau de bord'!$D34),"")</f>
        <v/>
      </c>
      <c r="G34" s="37"/>
      <c r="H34" s="88" t="str">
        <f>IF(D34&lt;&gt;"",COUNTIFS('Données clés'!B:B,'Tableau de bord'!D34,'Données clés'!P:P,"oui"),"")</f>
        <v/>
      </c>
      <c r="I34" s="88" t="str">
        <f>IF(D34&lt;&gt;"",COUNTIFS('Données clés'!B:B,'Tableau de bord'!D34,'Données clés'!P:P,"non"),"")</f>
        <v/>
      </c>
      <c r="K34" s="88" t="str">
        <f>IF(D34&lt;&gt;"",COUNTIFS('Données clés'!B:B,'Tableau de bord'!D34),"")</f>
        <v/>
      </c>
      <c r="M34" s="67"/>
    </row>
    <row r="35" spans="4:13" ht="28.5" x14ac:dyDescent="0.3">
      <c r="D35"/>
      <c r="E35" s="37" t="str">
        <f>IF(C35&lt;&gt;"",AVERAGEIFS('Données clés'!B:B,'Données clés'!A:A,'Tableau de bord'!$D35),"")</f>
        <v/>
      </c>
      <c r="F35" s="37" t="str">
        <f>IF(AND(D35&lt;&gt;"",NOT(ISERROR(_xlfn.MINIFS('Données clés'!E:E,'Données clés'!B:B,'Tableau de bord'!$D35)))),_xlfn.MINIFS('Données clés'!E:E,'Données clés'!B:B,'Tableau de bord'!$D35),"")</f>
        <v/>
      </c>
      <c r="G35" s="37"/>
      <c r="H35" s="88" t="str">
        <f>IF(D35&lt;&gt;"",COUNTIFS('Données clés'!B:B,'Tableau de bord'!D35,'Données clés'!P:P,"oui"),"")</f>
        <v/>
      </c>
      <c r="I35" s="88" t="str">
        <f>IF(D35&lt;&gt;"",COUNTIFS('Données clés'!B:B,'Tableau de bord'!D35,'Données clés'!P:P,"non"),"")</f>
        <v/>
      </c>
      <c r="K35" s="88" t="str">
        <f>IF(D35&lt;&gt;"",COUNTIFS('Données clés'!B:B,'Tableau de bord'!D35),"")</f>
        <v/>
      </c>
      <c r="M35" s="67"/>
    </row>
    <row r="36" spans="4:13" ht="28.5" x14ac:dyDescent="0.3">
      <c r="D36"/>
      <c r="E36" s="37" t="str">
        <f>IF(C36&lt;&gt;"",AVERAGEIFS('Données clés'!B:B,'Données clés'!A:A,'Tableau de bord'!$D36),"")</f>
        <v/>
      </c>
      <c r="F36" s="37" t="str">
        <f>IF(AND(D36&lt;&gt;"",NOT(ISERROR(_xlfn.MINIFS('Données clés'!E:E,'Données clés'!B:B,'Tableau de bord'!$D36)))),_xlfn.MINIFS('Données clés'!E:E,'Données clés'!B:B,'Tableau de bord'!$D36),"")</f>
        <v/>
      </c>
      <c r="G36" s="37"/>
      <c r="H36" s="88" t="str">
        <f>IF(D36&lt;&gt;"",COUNTIFS('Données clés'!B:B,'Tableau de bord'!D36,'Données clés'!P:P,"oui"),"")</f>
        <v/>
      </c>
      <c r="I36" s="88" t="str">
        <f>IF(D36&lt;&gt;"",COUNTIFS('Données clés'!B:B,'Tableau de bord'!D36,'Données clés'!P:P,"non"),"")</f>
        <v/>
      </c>
      <c r="K36" s="88" t="str">
        <f>IF(D36&lt;&gt;"",COUNTIFS('Données clés'!B:B,'Tableau de bord'!D36),"")</f>
        <v/>
      </c>
      <c r="M36" s="67"/>
    </row>
    <row r="37" spans="4:13" ht="28.5" x14ac:dyDescent="0.3">
      <c r="D37"/>
      <c r="E37" s="37" t="str">
        <f>IF(C37&lt;&gt;"",AVERAGEIFS('Données clés'!B:B,'Données clés'!A:A,'Tableau de bord'!$D37),"")</f>
        <v/>
      </c>
      <c r="F37" s="37" t="str">
        <f>IF(AND(D37&lt;&gt;"",NOT(ISERROR(_xlfn.MINIFS('Données clés'!E:E,'Données clés'!B:B,'Tableau de bord'!$D37)))),_xlfn.MINIFS('Données clés'!E:E,'Données clés'!B:B,'Tableau de bord'!$D37),"")</f>
        <v/>
      </c>
      <c r="G37" s="37"/>
      <c r="H37" s="88" t="str">
        <f>IF(D37&lt;&gt;"",COUNTIFS('Données clés'!B:B,'Tableau de bord'!D37,'Données clés'!P:P,"oui"),"")</f>
        <v/>
      </c>
      <c r="I37" s="88" t="str">
        <f>IF(D37&lt;&gt;"",COUNTIFS('Données clés'!B:B,'Tableau de bord'!D37,'Données clés'!P:P,"non"),"")</f>
        <v/>
      </c>
      <c r="K37" s="88" t="str">
        <f>IF(D37&lt;&gt;"",COUNTIFS('Données clés'!B:B,'Tableau de bord'!D37),"")</f>
        <v/>
      </c>
      <c r="M37" s="67"/>
    </row>
    <row r="38" spans="4:13" ht="28.5" x14ac:dyDescent="0.3">
      <c r="D38"/>
      <c r="E38" s="37" t="str">
        <f>IF(C38&lt;&gt;"",AVERAGEIFS('Données clés'!B:B,'Données clés'!A:A,'Tableau de bord'!$D38),"")</f>
        <v/>
      </c>
      <c r="F38" s="37" t="str">
        <f>IF(AND(D38&lt;&gt;"",NOT(ISERROR(_xlfn.MINIFS('Données clés'!E:E,'Données clés'!B:B,'Tableau de bord'!$D38)))),_xlfn.MINIFS('Données clés'!E:E,'Données clés'!B:B,'Tableau de bord'!$D38),"")</f>
        <v/>
      </c>
      <c r="G38" s="37"/>
      <c r="H38" s="88" t="str">
        <f>IF(D38&lt;&gt;"",COUNTIFS('Données clés'!B:B,'Tableau de bord'!D38,'Données clés'!P:P,"oui"),"")</f>
        <v/>
      </c>
      <c r="I38" s="88" t="str">
        <f>IF(D38&lt;&gt;"",COUNTIFS('Données clés'!B:B,'Tableau de bord'!D38,'Données clés'!P:P,"non"),"")</f>
        <v/>
      </c>
      <c r="K38" s="88" t="str">
        <f>IF(D38&lt;&gt;"",COUNTIFS('Données clés'!B:B,'Tableau de bord'!D38),"")</f>
        <v/>
      </c>
      <c r="M38" s="67"/>
    </row>
    <row r="39" spans="4:13" ht="28.5" x14ac:dyDescent="0.3">
      <c r="D39"/>
      <c r="E39" s="37" t="str">
        <f>IF(C39&lt;&gt;"",AVERAGEIFS('Données clés'!B:B,'Données clés'!A:A,'Tableau de bord'!$D39),"")</f>
        <v/>
      </c>
      <c r="F39" s="37" t="str">
        <f>IF(AND(D39&lt;&gt;"",NOT(ISERROR(_xlfn.MINIFS('Données clés'!E:E,'Données clés'!B:B,'Tableau de bord'!$D39)))),_xlfn.MINIFS('Données clés'!E:E,'Données clés'!B:B,'Tableau de bord'!$D39),"")</f>
        <v/>
      </c>
      <c r="G39" s="37"/>
      <c r="H39" s="88" t="str">
        <f>IF(D39&lt;&gt;"",COUNTIFS('Données clés'!B:B,'Tableau de bord'!D39,'Données clés'!P:P,"oui"),"")</f>
        <v/>
      </c>
      <c r="I39" s="88" t="str">
        <f>IF(D39&lt;&gt;"",COUNTIFS('Données clés'!B:B,'Tableau de bord'!D39,'Données clés'!P:P,"non"),"")</f>
        <v/>
      </c>
      <c r="K39" s="88" t="str">
        <f>IF(D39&lt;&gt;"",COUNTIFS('Données clés'!B:B,'Tableau de bord'!D39),"")</f>
        <v/>
      </c>
      <c r="M39" s="67"/>
    </row>
    <row r="40" spans="4:13" ht="28.5" x14ac:dyDescent="0.3">
      <c r="D40"/>
      <c r="E40" s="37" t="str">
        <f>IF(C40&lt;&gt;"",AVERAGEIFS('Données clés'!B:B,'Données clés'!A:A,'Tableau de bord'!$D40),"")</f>
        <v/>
      </c>
      <c r="F40" s="37" t="str">
        <f>IF(AND(D40&lt;&gt;"",NOT(ISERROR(_xlfn.MINIFS('Données clés'!E:E,'Données clés'!B:B,'Tableau de bord'!$D40)))),_xlfn.MINIFS('Données clés'!E:E,'Données clés'!B:B,'Tableau de bord'!$D40),"")</f>
        <v/>
      </c>
      <c r="G40" s="37"/>
      <c r="H40" s="88" t="str">
        <f>IF(D40&lt;&gt;"",COUNTIFS('Données clés'!B:B,'Tableau de bord'!D40,'Données clés'!P:P,"oui"),"")</f>
        <v/>
      </c>
      <c r="I40" s="88" t="str">
        <f>IF(D40&lt;&gt;"",COUNTIFS('Données clés'!B:B,'Tableau de bord'!D40,'Données clés'!P:P,"non"),"")</f>
        <v/>
      </c>
      <c r="K40" s="88" t="str">
        <f>IF(D40&lt;&gt;"",COUNTIFS('Données clés'!B:B,'Tableau de bord'!D40),"")</f>
        <v/>
      </c>
      <c r="M40" s="67"/>
    </row>
    <row r="41" spans="4:13" ht="28.5" x14ac:dyDescent="0.3">
      <c r="D41"/>
      <c r="E41" s="37" t="str">
        <f>IF(C41&lt;&gt;"",AVERAGEIFS('Données clés'!B:B,'Données clés'!A:A,'Tableau de bord'!$D41),"")</f>
        <v/>
      </c>
      <c r="F41" s="37" t="str">
        <f>IF(AND(D41&lt;&gt;"",NOT(ISERROR(_xlfn.MINIFS('Données clés'!E:E,'Données clés'!B:B,'Tableau de bord'!$D41)))),_xlfn.MINIFS('Données clés'!E:E,'Données clés'!B:B,'Tableau de bord'!$D41),"")</f>
        <v/>
      </c>
      <c r="G41" s="37"/>
      <c r="H41" s="88" t="str">
        <f>IF(D41&lt;&gt;"",COUNTIFS('Données clés'!B:B,'Tableau de bord'!D41,'Données clés'!P:P,"oui"),"")</f>
        <v/>
      </c>
      <c r="I41" s="88" t="str">
        <f>IF(D41&lt;&gt;"",COUNTIFS('Données clés'!B:B,'Tableau de bord'!D41,'Données clés'!P:P,"non"),"")</f>
        <v/>
      </c>
      <c r="K41" s="88" t="str">
        <f>IF(D41&lt;&gt;"",COUNTIFS('Données clés'!B:B,'Tableau de bord'!D41),"")</f>
        <v/>
      </c>
      <c r="M41" s="67"/>
    </row>
    <row r="42" spans="4:13" ht="28.5" x14ac:dyDescent="0.3">
      <c r="D42"/>
      <c r="E42" s="37" t="str">
        <f>IF(C42&lt;&gt;"",AVERAGEIFS('Données clés'!B:B,'Données clés'!A:A,'Tableau de bord'!$D42),"")</f>
        <v/>
      </c>
      <c r="F42" s="37" t="str">
        <f>IF(AND(D42&lt;&gt;"",NOT(ISERROR(_xlfn.MINIFS('Données clés'!E:E,'Données clés'!B:B,'Tableau de bord'!$D42)))),_xlfn.MINIFS('Données clés'!E:E,'Données clés'!B:B,'Tableau de bord'!$D42),"")</f>
        <v/>
      </c>
      <c r="G42" s="37"/>
      <c r="H42" s="88" t="str">
        <f>IF(D42&lt;&gt;"",COUNTIFS('Données clés'!B:B,'Tableau de bord'!D42,'Données clés'!P:P,"oui"),"")</f>
        <v/>
      </c>
      <c r="I42" s="88" t="str">
        <f>IF(D42&lt;&gt;"",COUNTIFS('Données clés'!B:B,'Tableau de bord'!D42,'Données clés'!P:P,"non"),"")</f>
        <v/>
      </c>
      <c r="K42" s="88" t="str">
        <f>IF(D42&lt;&gt;"",COUNTIFS('Données clés'!B:B,'Tableau de bord'!D42),"")</f>
        <v/>
      </c>
      <c r="M42" s="67"/>
    </row>
    <row r="43" spans="4:13" ht="28.5" x14ac:dyDescent="0.3">
      <c r="D43"/>
      <c r="E43" s="37" t="str">
        <f>IF(C43&lt;&gt;"",AVERAGEIFS('Données clés'!B:B,'Données clés'!A:A,'Tableau de bord'!$D43),"")</f>
        <v/>
      </c>
      <c r="F43" s="37" t="str">
        <f>IF(AND(D43&lt;&gt;"",NOT(ISERROR(_xlfn.MINIFS('Données clés'!E:E,'Données clés'!B:B,'Tableau de bord'!$D43)))),_xlfn.MINIFS('Données clés'!E:E,'Données clés'!B:B,'Tableau de bord'!$D43),"")</f>
        <v/>
      </c>
      <c r="G43" s="37"/>
      <c r="H43" s="88" t="str">
        <f>IF(D43&lt;&gt;"",COUNTIFS('Données clés'!B:B,'Tableau de bord'!D43,'Données clés'!P:P,"oui"),"")</f>
        <v/>
      </c>
      <c r="I43" s="88" t="str">
        <f>IF(D43&lt;&gt;"",COUNTIFS('Données clés'!B:B,'Tableau de bord'!D43,'Données clés'!P:P,"non"),"")</f>
        <v/>
      </c>
      <c r="K43" s="88" t="str">
        <f>IF(D43&lt;&gt;"",COUNTIFS('Données clés'!B:B,'Tableau de bord'!D43),"")</f>
        <v/>
      </c>
      <c r="M43" s="67"/>
    </row>
    <row r="44" spans="4:13" ht="28.5" x14ac:dyDescent="0.3">
      <c r="D44"/>
      <c r="E44" s="37" t="str">
        <f>IF(C44&lt;&gt;"",AVERAGEIFS('Données clés'!B:B,'Données clés'!A:A,'Tableau de bord'!$D44),"")</f>
        <v/>
      </c>
      <c r="F44" s="37" t="str">
        <f>IF(AND(D44&lt;&gt;"",NOT(ISERROR(_xlfn.MINIFS('Données clés'!E:E,'Données clés'!B:B,'Tableau de bord'!$D44)))),_xlfn.MINIFS('Données clés'!E:E,'Données clés'!B:B,'Tableau de bord'!$D44),"")</f>
        <v/>
      </c>
      <c r="G44" s="37"/>
      <c r="H44" s="88" t="str">
        <f>IF(D44&lt;&gt;"",COUNTIFS('Données clés'!B:B,'Tableau de bord'!D44,'Données clés'!P:P,"oui"),"")</f>
        <v/>
      </c>
      <c r="I44" s="88" t="str">
        <f>IF(D44&lt;&gt;"",COUNTIFS('Données clés'!B:B,'Tableau de bord'!D44,'Données clés'!P:P,"non"),"")</f>
        <v/>
      </c>
      <c r="K44" s="88" t="str">
        <f>IF(D44&lt;&gt;"",COUNTIFS('Données clés'!B:B,'Tableau de bord'!D44),"")</f>
        <v/>
      </c>
      <c r="M44" s="67"/>
    </row>
    <row r="45" spans="4:13" ht="28.5" x14ac:dyDescent="0.3">
      <c r="D45"/>
      <c r="E45" s="37" t="str">
        <f>IF(C45&lt;&gt;"",AVERAGEIFS('Données clés'!B:B,'Données clés'!A:A,'Tableau de bord'!$D45),"")</f>
        <v/>
      </c>
      <c r="F45" s="37" t="str">
        <f>IF(AND(D45&lt;&gt;"",NOT(ISERROR(_xlfn.MINIFS('Données clés'!E:E,'Données clés'!B:B,'Tableau de bord'!$D45)))),_xlfn.MINIFS('Données clés'!E:E,'Données clés'!B:B,'Tableau de bord'!$D45),"")</f>
        <v/>
      </c>
      <c r="G45" s="37"/>
      <c r="H45" s="88" t="str">
        <f>IF(D45&lt;&gt;"",COUNTIFS('Données clés'!B:B,'Tableau de bord'!D45,'Données clés'!P:P,"oui"),"")</f>
        <v/>
      </c>
      <c r="I45" s="88" t="str">
        <f>IF(D45&lt;&gt;"",COUNTIFS('Données clés'!B:B,'Tableau de bord'!D45,'Données clés'!P:P,"non"),"")</f>
        <v/>
      </c>
      <c r="K45" s="88" t="str">
        <f>IF(D45&lt;&gt;"",COUNTIFS('Données clés'!B:B,'Tableau de bord'!D45),"")</f>
        <v/>
      </c>
      <c r="M45" s="67"/>
    </row>
    <row r="46" spans="4:13" ht="28.5" x14ac:dyDescent="0.3">
      <c r="D46"/>
      <c r="E46" s="37" t="str">
        <f>IF(C46&lt;&gt;"",AVERAGEIFS('Données clés'!B:B,'Données clés'!A:A,'Tableau de bord'!$D46),"")</f>
        <v/>
      </c>
      <c r="F46" s="37" t="str">
        <f>IF(AND(D46&lt;&gt;"",NOT(ISERROR(_xlfn.MINIFS('Données clés'!E:E,'Données clés'!B:B,'Tableau de bord'!$D46)))),_xlfn.MINIFS('Données clés'!E:E,'Données clés'!B:B,'Tableau de bord'!$D46),"")</f>
        <v/>
      </c>
      <c r="G46" s="37"/>
      <c r="H46" s="88" t="str">
        <f>IF(D46&lt;&gt;"",COUNTIFS('Données clés'!B:B,'Tableau de bord'!D46,'Données clés'!P:P,"oui"),"")</f>
        <v/>
      </c>
      <c r="I46" s="88" t="str">
        <f>IF(D46&lt;&gt;"",COUNTIFS('Données clés'!B:B,'Tableau de bord'!D46,'Données clés'!P:P,"non"),"")</f>
        <v/>
      </c>
      <c r="K46" s="88" t="str">
        <f>IF(D46&lt;&gt;"",COUNTIFS('Données clés'!B:B,'Tableau de bord'!D46),"")</f>
        <v/>
      </c>
      <c r="M46" s="67"/>
    </row>
    <row r="47" spans="4:13" ht="28.5" x14ac:dyDescent="0.3">
      <c r="D47"/>
      <c r="E47" s="37" t="str">
        <f>IF(C47&lt;&gt;"",AVERAGEIFS('Données clés'!B:B,'Données clés'!A:A,'Tableau de bord'!$D47),"")</f>
        <v/>
      </c>
      <c r="F47" s="37" t="str">
        <f>IF(AND(D47&lt;&gt;"",NOT(ISERROR(_xlfn.MINIFS('Données clés'!E:E,'Données clés'!B:B,'Tableau de bord'!$D47)))),_xlfn.MINIFS('Données clés'!E:E,'Données clés'!B:B,'Tableau de bord'!$D47),"")</f>
        <v/>
      </c>
      <c r="G47" s="37"/>
      <c r="H47" s="88" t="str">
        <f>IF(D47&lt;&gt;"",COUNTIFS('Données clés'!B:B,'Tableau de bord'!D47,'Données clés'!P:P,"oui"),"")</f>
        <v/>
      </c>
      <c r="I47" s="88" t="str">
        <f>IF(D47&lt;&gt;"",COUNTIFS('Données clés'!B:B,'Tableau de bord'!D47,'Données clés'!P:P,"non"),"")</f>
        <v/>
      </c>
      <c r="K47" s="88" t="str">
        <f>IF(D47&lt;&gt;"",COUNTIFS('Données clés'!B:B,'Tableau de bord'!D47),"")</f>
        <v/>
      </c>
      <c r="M47" s="67"/>
    </row>
    <row r="48" spans="4:13" ht="28.5" x14ac:dyDescent="0.3">
      <c r="D48"/>
      <c r="E48" s="37" t="str">
        <f>IF(C48&lt;&gt;"",AVERAGEIFS('Données clés'!B:B,'Données clés'!A:A,'Tableau de bord'!$D48),"")</f>
        <v/>
      </c>
      <c r="F48" s="37" t="str">
        <f>IF(AND(D48&lt;&gt;"",NOT(ISERROR(_xlfn.MINIFS('Données clés'!E:E,'Données clés'!B:B,'Tableau de bord'!$D48)))),_xlfn.MINIFS('Données clés'!E:E,'Données clés'!B:B,'Tableau de bord'!$D48),"")</f>
        <v/>
      </c>
      <c r="G48" s="37"/>
      <c r="H48" s="88" t="str">
        <f>IF(D48&lt;&gt;"",COUNTIFS('Données clés'!B:B,'Tableau de bord'!D48,'Données clés'!P:P,"oui"),"")</f>
        <v/>
      </c>
      <c r="I48" s="88" t="str">
        <f>IF(D48&lt;&gt;"",COUNTIFS('Données clés'!B:B,'Tableau de bord'!D48,'Données clés'!P:P,"non"),"")</f>
        <v/>
      </c>
      <c r="K48" s="88" t="str">
        <f>IF(D48&lt;&gt;"",COUNTIFS('Données clés'!B:B,'Tableau de bord'!D48),"")</f>
        <v/>
      </c>
      <c r="M48" s="67"/>
    </row>
    <row r="49" spans="4:13" ht="28.5" x14ac:dyDescent="0.3">
      <c r="D49"/>
      <c r="E49" s="37" t="str">
        <f>IF(C49&lt;&gt;"",AVERAGEIFS('Données clés'!B:B,'Données clés'!A:A,'Tableau de bord'!$D49),"")</f>
        <v/>
      </c>
      <c r="F49" s="37" t="str">
        <f>IF(AND(D49&lt;&gt;"",NOT(ISERROR(_xlfn.MINIFS('Données clés'!E:E,'Données clés'!B:B,'Tableau de bord'!$D49)))),_xlfn.MINIFS('Données clés'!E:E,'Données clés'!B:B,'Tableau de bord'!$D49),"")</f>
        <v/>
      </c>
      <c r="G49" s="37"/>
      <c r="H49" s="88" t="str">
        <f>IF(D49&lt;&gt;"",COUNTIFS('Données clés'!B:B,'Tableau de bord'!D49,'Données clés'!P:P,"oui"),"")</f>
        <v/>
      </c>
      <c r="I49" s="88" t="str">
        <f>IF(D49&lt;&gt;"",COUNTIFS('Données clés'!B:B,'Tableau de bord'!D49,'Données clés'!P:P,"non"),"")</f>
        <v/>
      </c>
      <c r="K49" s="88" t="str">
        <f>IF(D49&lt;&gt;"",COUNTIFS('Données clés'!B:B,'Tableau de bord'!D49),"")</f>
        <v/>
      </c>
      <c r="M49" s="67"/>
    </row>
    <row r="50" spans="4:13" ht="28.5" x14ac:dyDescent="0.3">
      <c r="D50"/>
      <c r="E50" s="37" t="str">
        <f>IF(C50&lt;&gt;"",AVERAGEIFS('Données clés'!B:B,'Données clés'!A:A,'Tableau de bord'!$D50),"")</f>
        <v/>
      </c>
      <c r="F50" s="37" t="str">
        <f>IF(AND(D50&lt;&gt;"",NOT(ISERROR(_xlfn.MINIFS('Données clés'!E:E,'Données clés'!B:B,'Tableau de bord'!$D50)))),_xlfn.MINIFS('Données clés'!E:E,'Données clés'!B:B,'Tableau de bord'!$D50),"")</f>
        <v/>
      </c>
      <c r="G50" s="37"/>
      <c r="H50" s="88" t="str">
        <f>IF(D50&lt;&gt;"",COUNTIFS('Données clés'!B:B,'Tableau de bord'!D50,'Données clés'!P:P,"oui"),"")</f>
        <v/>
      </c>
      <c r="I50" s="88" t="str">
        <f>IF(D50&lt;&gt;"",COUNTIFS('Données clés'!B:B,'Tableau de bord'!D50,'Données clés'!P:P,"non"),"")</f>
        <v/>
      </c>
      <c r="K50" s="88" t="str">
        <f>IF(D50&lt;&gt;"",COUNTIFS('Données clés'!B:B,'Tableau de bord'!D50),"")</f>
        <v/>
      </c>
      <c r="M50" s="67"/>
    </row>
    <row r="51" spans="4:13" ht="28.5" x14ac:dyDescent="0.3">
      <c r="D51" s="68"/>
      <c r="E51" s="37" t="str">
        <f>IF(C51&lt;&gt;"",AVERAGEIFS('Données clés'!B:B,'Données clés'!A:A,'Tableau de bord'!$D51),"")</f>
        <v/>
      </c>
      <c r="F51" s="37" t="str">
        <f>IF(AND(D51&lt;&gt;"",NOT(ISERROR(_xlfn.MINIFS('Données clés'!E:E,'Données clés'!B:B,'Tableau de bord'!$D51)))),_xlfn.MINIFS('Données clés'!E:E,'Données clés'!B:B,'Tableau de bord'!$D51),"")</f>
        <v/>
      </c>
      <c r="G51" s="37"/>
      <c r="H51" s="88" t="str">
        <f>IF(D51&lt;&gt;"",COUNTIFS('Données clés'!B:B,'Tableau de bord'!D51,'Données clés'!P:P,"oui"),"")</f>
        <v/>
      </c>
      <c r="I51" s="88" t="str">
        <f>IF(D51&lt;&gt;"",COUNTIFS('Données clés'!B:B,'Tableau de bord'!D51,'Données clés'!P:P,"non"),"")</f>
        <v/>
      </c>
      <c r="K51" s="88" t="str">
        <f>IF(D51&lt;&gt;"",COUNTIFS('Données clés'!B:B,'Tableau de bord'!D51),"")</f>
        <v/>
      </c>
      <c r="M51" s="67"/>
    </row>
    <row r="52" spans="4:13" ht="28.5" x14ac:dyDescent="0.3">
      <c r="D52" s="68"/>
      <c r="E52" s="37" t="str">
        <f>IF(C52&lt;&gt;"",AVERAGEIFS('Données clés'!B:B,'Données clés'!A:A,'Tableau de bord'!$D52),"")</f>
        <v/>
      </c>
      <c r="F52" s="37" t="str">
        <f>IF(AND(D52&lt;&gt;"",NOT(ISERROR(_xlfn.MINIFS('Données clés'!E:E,'Données clés'!B:B,'Tableau de bord'!$D52)))),_xlfn.MINIFS('Données clés'!E:E,'Données clés'!B:B,'Tableau de bord'!$D52),"")</f>
        <v/>
      </c>
      <c r="G52" s="37"/>
      <c r="H52" s="88" t="str">
        <f>IF(D52&lt;&gt;"",COUNTIFS('Données clés'!B:B,'Tableau de bord'!D52,'Données clés'!P:P,"oui"),"")</f>
        <v/>
      </c>
      <c r="I52" s="88" t="str">
        <f>IF(D52&lt;&gt;"",COUNTIFS('Données clés'!B:B,'Tableau de bord'!D52,'Données clés'!P:P,"non"),"")</f>
        <v/>
      </c>
      <c r="K52" s="88" t="str">
        <f>IF(D52&lt;&gt;"",COUNTIFS('Données clés'!B:B,'Tableau de bord'!D52),"")</f>
        <v/>
      </c>
      <c r="M52" s="67"/>
    </row>
    <row r="53" spans="4:13" ht="28.5" x14ac:dyDescent="0.3">
      <c r="D53" s="68"/>
      <c r="E53" s="37" t="str">
        <f>IF(C53&lt;&gt;"",AVERAGEIFS('Données clés'!B:B,'Données clés'!A:A,'Tableau de bord'!$D53),"")</f>
        <v/>
      </c>
      <c r="F53" s="37" t="str">
        <f>IF(AND(D53&lt;&gt;"",NOT(ISERROR(_xlfn.MINIFS('Données clés'!E:E,'Données clés'!B:B,'Tableau de bord'!$D53)))),_xlfn.MINIFS('Données clés'!E:E,'Données clés'!B:B,'Tableau de bord'!$D53),"")</f>
        <v/>
      </c>
      <c r="G53" s="37"/>
      <c r="H53" s="88" t="str">
        <f>IF(D53&lt;&gt;"",COUNTIFS('Données clés'!B:B,'Tableau de bord'!D53,'Données clés'!P:P,"oui"),"")</f>
        <v/>
      </c>
      <c r="I53" s="88" t="str">
        <f>IF(D53&lt;&gt;"",COUNTIFS('Données clés'!B:B,'Tableau de bord'!D53,'Données clés'!P:P,"non"),"")</f>
        <v/>
      </c>
      <c r="K53" s="88" t="str">
        <f>IF(D53&lt;&gt;"",COUNTIFS('Données clés'!B:B,'Tableau de bord'!D53),"")</f>
        <v/>
      </c>
      <c r="M53" s="67"/>
    </row>
    <row r="54" spans="4:13" ht="28.5" x14ac:dyDescent="0.3">
      <c r="D54" s="68"/>
      <c r="E54" s="37" t="str">
        <f>IF(C54&lt;&gt;"",AVERAGEIFS('Données clés'!B:B,'Données clés'!A:A,'Tableau de bord'!$D54),"")</f>
        <v/>
      </c>
      <c r="F54" s="37" t="str">
        <f>IF(AND(D54&lt;&gt;"",NOT(ISERROR(_xlfn.MINIFS('Données clés'!E:E,'Données clés'!B:B,'Tableau de bord'!$D54)))),_xlfn.MINIFS('Données clés'!E:E,'Données clés'!B:B,'Tableau de bord'!$D54),"")</f>
        <v/>
      </c>
      <c r="G54" s="37"/>
      <c r="H54" s="88" t="str">
        <f>IF(D54&lt;&gt;"",COUNTIFS('Données clés'!B:B,'Tableau de bord'!D54,'Données clés'!P:P,"oui"),"")</f>
        <v/>
      </c>
      <c r="I54" s="88" t="str">
        <f>IF(D54&lt;&gt;"",COUNTIFS('Données clés'!B:B,'Tableau de bord'!D54,'Données clés'!P:P,"non"),"")</f>
        <v/>
      </c>
      <c r="K54" s="88" t="str">
        <f>IF(D54&lt;&gt;"",COUNTIFS('Données clés'!B:B,'Tableau de bord'!D54),"")</f>
        <v/>
      </c>
      <c r="M54" s="67"/>
    </row>
    <row r="55" spans="4:13" ht="28.5" x14ac:dyDescent="0.3">
      <c r="D55" s="68"/>
      <c r="E55" s="37" t="str">
        <f>IF(C55&lt;&gt;"",AVERAGEIFS('Données clés'!B:B,'Données clés'!A:A,'Tableau de bord'!$D55),"")</f>
        <v/>
      </c>
      <c r="F55" s="37" t="str">
        <f>IF(AND(D55&lt;&gt;"",NOT(ISERROR(_xlfn.MINIFS('Données clés'!E:E,'Données clés'!B:B,'Tableau de bord'!$D55)))),_xlfn.MINIFS('Données clés'!E:E,'Données clés'!B:B,'Tableau de bord'!$D55),"")</f>
        <v/>
      </c>
      <c r="G55" s="37"/>
      <c r="H55" s="88" t="str">
        <f>IF(D55&lt;&gt;"",COUNTIFS('Données clés'!B:B,'Tableau de bord'!D55,'Données clés'!P:P,"oui"),"")</f>
        <v/>
      </c>
      <c r="I55" s="88" t="str">
        <f>IF(D55&lt;&gt;"",COUNTIFS('Données clés'!B:B,'Tableau de bord'!D55,'Données clés'!P:P,"non"),"")</f>
        <v/>
      </c>
      <c r="K55" s="88" t="str">
        <f>IF(D55&lt;&gt;"",COUNTIFS('Données clés'!B:B,'Tableau de bord'!D55),"")</f>
        <v/>
      </c>
      <c r="M55" s="67"/>
    </row>
    <row r="56" spans="4:13" ht="28.5" x14ac:dyDescent="0.3">
      <c r="D56" s="68"/>
      <c r="E56" s="37" t="str">
        <f>IF(C56&lt;&gt;"",AVERAGEIFS('Données clés'!B:B,'Données clés'!A:A,'Tableau de bord'!$D56),"")</f>
        <v/>
      </c>
      <c r="F56" s="37" t="str">
        <f>IF(AND(D56&lt;&gt;"",NOT(ISERROR(_xlfn.MINIFS('Données clés'!E:E,'Données clés'!B:B,'Tableau de bord'!$D56)))),_xlfn.MINIFS('Données clés'!E:E,'Données clés'!B:B,'Tableau de bord'!$D56),"")</f>
        <v/>
      </c>
      <c r="G56" s="37"/>
      <c r="H56" s="88" t="str">
        <f>IF(D56&lt;&gt;"",COUNTIFS('Données clés'!B:B,'Tableau de bord'!D56,'Données clés'!P:P,"oui"),"")</f>
        <v/>
      </c>
      <c r="I56" s="88" t="str">
        <f>IF(D56&lt;&gt;"",COUNTIFS('Données clés'!B:B,'Tableau de bord'!D56,'Données clés'!P:P,"non"),"")</f>
        <v/>
      </c>
      <c r="K56" s="88" t="str">
        <f>IF(D56&lt;&gt;"",COUNTIFS('Données clés'!B:B,'Tableau de bord'!D56),"")</f>
        <v/>
      </c>
      <c r="M56" s="67"/>
    </row>
    <row r="57" spans="4:13" ht="28.5" x14ac:dyDescent="0.3">
      <c r="D57" s="68"/>
      <c r="E57" s="37" t="str">
        <f>IF(C57&lt;&gt;"",AVERAGEIFS('Données clés'!B:B,'Données clés'!A:A,'Tableau de bord'!$D57),"")</f>
        <v/>
      </c>
      <c r="F57" s="37" t="str">
        <f>IF(AND(D57&lt;&gt;"",NOT(ISERROR(_xlfn.MINIFS('Données clés'!E:E,'Données clés'!B:B,'Tableau de bord'!$D57)))),_xlfn.MINIFS('Données clés'!E:E,'Données clés'!B:B,'Tableau de bord'!$D57),"")</f>
        <v/>
      </c>
      <c r="G57" s="37"/>
      <c r="H57" s="88" t="str">
        <f>IF(D57&lt;&gt;"",COUNTIFS('Données clés'!B:B,'Tableau de bord'!D57,'Données clés'!P:P,"oui"),"")</f>
        <v/>
      </c>
      <c r="I57" s="88" t="str">
        <f>IF(D57&lt;&gt;"",COUNTIFS('Données clés'!B:B,'Tableau de bord'!D57,'Données clés'!P:P,"non"),"")</f>
        <v/>
      </c>
      <c r="K57" s="88" t="str">
        <f>IF(D57&lt;&gt;"",COUNTIFS('Données clés'!B:B,'Tableau de bord'!D57),"")</f>
        <v/>
      </c>
      <c r="M57" s="67"/>
    </row>
    <row r="58" spans="4:13" ht="28.5" x14ac:dyDescent="0.3">
      <c r="D58" s="68"/>
      <c r="E58" s="37" t="str">
        <f>IF(C58&lt;&gt;"",AVERAGEIFS('Données clés'!B:B,'Données clés'!A:A,'Tableau de bord'!$D58),"")</f>
        <v/>
      </c>
      <c r="F58" s="37" t="str">
        <f>IF(AND(D58&lt;&gt;"",NOT(ISERROR(_xlfn.MINIFS('Données clés'!E:E,'Données clés'!B:B,'Tableau de bord'!$D58)))),_xlfn.MINIFS('Données clés'!E:E,'Données clés'!B:B,'Tableau de bord'!$D58),"")</f>
        <v/>
      </c>
      <c r="G58" s="37"/>
      <c r="H58" s="88" t="str">
        <f>IF(D58&lt;&gt;"",COUNTIFS('Données clés'!B:B,'Tableau de bord'!D58,'Données clés'!P:P,"oui"),"")</f>
        <v/>
      </c>
      <c r="I58" s="88" t="str">
        <f>IF(D58&lt;&gt;"",COUNTIFS('Données clés'!B:B,'Tableau de bord'!D58,'Données clés'!P:P,"non"),"")</f>
        <v/>
      </c>
      <c r="K58" s="88" t="str">
        <f>IF(D58&lt;&gt;"",COUNTIFS('Données clés'!B:B,'Tableau de bord'!D58),"")</f>
        <v/>
      </c>
      <c r="M58" s="67"/>
    </row>
    <row r="59" spans="4:13" ht="28.5" x14ac:dyDescent="0.3">
      <c r="D59" s="68"/>
      <c r="E59" s="37" t="str">
        <f>IF(C59&lt;&gt;"",AVERAGEIFS('Données clés'!B:B,'Données clés'!A:A,'Tableau de bord'!$D59),"")</f>
        <v/>
      </c>
      <c r="F59" s="37" t="str">
        <f>IF(AND(D59&lt;&gt;"",NOT(ISERROR(_xlfn.MINIFS('Données clés'!E:E,'Données clés'!B:B,'Tableau de bord'!$D59)))),_xlfn.MINIFS('Données clés'!E:E,'Données clés'!B:B,'Tableau de bord'!$D59),"")</f>
        <v/>
      </c>
      <c r="G59" s="37"/>
      <c r="H59" s="88" t="str">
        <f>IF(D59&lt;&gt;"",COUNTIFS('Données clés'!B:B,'Tableau de bord'!D59,'Données clés'!P:P,"oui"),"")</f>
        <v/>
      </c>
      <c r="I59" s="88" t="str">
        <f>IF(D59&lt;&gt;"",COUNTIFS('Données clés'!B:B,'Tableau de bord'!D59,'Données clés'!P:P,"non"),"")</f>
        <v/>
      </c>
      <c r="K59" s="88" t="str">
        <f>IF(D59&lt;&gt;"",COUNTIFS('Données clés'!B:B,'Tableau de bord'!D59),"")</f>
        <v/>
      </c>
      <c r="M59" s="67"/>
    </row>
    <row r="60" spans="4:13" ht="28.5" x14ac:dyDescent="0.3">
      <c r="D60" s="68"/>
      <c r="E60" s="37" t="str">
        <f>IF(C60&lt;&gt;"",AVERAGEIFS('Données clés'!B:B,'Données clés'!A:A,'Tableau de bord'!$D60),"")</f>
        <v/>
      </c>
      <c r="F60" s="37" t="str">
        <f>IF(AND(D60&lt;&gt;"",NOT(ISERROR(_xlfn.MINIFS('Données clés'!E:E,'Données clés'!B:B,'Tableau de bord'!$D60)))),_xlfn.MINIFS('Données clés'!E:E,'Données clés'!B:B,'Tableau de bord'!$D60),"")</f>
        <v/>
      </c>
      <c r="G60" s="37"/>
      <c r="H60" s="88" t="str">
        <f>IF(D60&lt;&gt;"",COUNTIFS('Données clés'!B:B,'Tableau de bord'!D60,'Données clés'!P:P,"oui"),"")</f>
        <v/>
      </c>
      <c r="I60" s="88" t="str">
        <f>IF(D60&lt;&gt;"",COUNTIFS('Données clés'!B:B,'Tableau de bord'!D60,'Données clés'!P:P,"non"),"")</f>
        <v/>
      </c>
      <c r="K60" s="88" t="str">
        <f>IF(D60&lt;&gt;"",COUNTIFS('Données clés'!B:B,'Tableau de bord'!D60),"")</f>
        <v/>
      </c>
      <c r="M60" s="67"/>
    </row>
    <row r="61" spans="4:13" ht="28.5" x14ac:dyDescent="0.3">
      <c r="D61" s="68"/>
      <c r="E61" s="37" t="str">
        <f>IF(C61&lt;&gt;"",AVERAGEIFS('Données clés'!B:B,'Données clés'!A:A,'Tableau de bord'!$D61),"")</f>
        <v/>
      </c>
      <c r="F61" s="37" t="str">
        <f>IF(AND(D61&lt;&gt;"",NOT(ISERROR(_xlfn.MINIFS('Données clés'!E:E,'Données clés'!B:B,'Tableau de bord'!$D61)))),_xlfn.MINIFS('Données clés'!E:E,'Données clés'!B:B,'Tableau de bord'!$D61),"")</f>
        <v/>
      </c>
      <c r="G61" s="37"/>
      <c r="H61" s="88" t="str">
        <f>IF(D61&lt;&gt;"",COUNTIFS('Données clés'!B:B,'Tableau de bord'!D61,'Données clés'!P:P,"oui"),"")</f>
        <v/>
      </c>
      <c r="I61" s="88" t="str">
        <f>IF(D61&lt;&gt;"",COUNTIFS('Données clés'!B:B,'Tableau de bord'!D61,'Données clés'!P:P,"non"),"")</f>
        <v/>
      </c>
      <c r="K61" s="88" t="str">
        <f>IF(D61&lt;&gt;"",COUNTIFS('Données clés'!B:B,'Tableau de bord'!D61),"")</f>
        <v/>
      </c>
      <c r="M61" s="67"/>
    </row>
    <row r="62" spans="4:13" ht="28.5" x14ac:dyDescent="0.3">
      <c r="D62" s="68"/>
      <c r="E62" s="37" t="str">
        <f>IF(C62&lt;&gt;"",AVERAGEIFS('Données clés'!B:B,'Données clés'!A:A,'Tableau de bord'!$D62),"")</f>
        <v/>
      </c>
      <c r="F62" s="37" t="str">
        <f>IF(AND(D62&lt;&gt;"",NOT(ISERROR(_xlfn.MINIFS('Données clés'!E:E,'Données clés'!B:B,'Tableau de bord'!$D62)))),_xlfn.MINIFS('Données clés'!E:E,'Données clés'!B:B,'Tableau de bord'!$D62),"")</f>
        <v/>
      </c>
      <c r="G62" s="37"/>
      <c r="H62" s="88" t="str">
        <f>IF(D62&lt;&gt;"",COUNTIFS('Données clés'!B:B,'Tableau de bord'!D62,'Données clés'!P:P,"oui"),"")</f>
        <v/>
      </c>
      <c r="I62" s="88" t="str">
        <f>IF(D62&lt;&gt;"",COUNTIFS('Données clés'!B:B,'Tableau de bord'!D62,'Données clés'!P:P,"non"),"")</f>
        <v/>
      </c>
      <c r="K62" s="88" t="str">
        <f>IF(D62&lt;&gt;"",COUNTIFS('Données clés'!B:B,'Tableau de bord'!D62),"")</f>
        <v/>
      </c>
      <c r="M62" s="67"/>
    </row>
    <row r="63" spans="4:13" ht="28.5" x14ac:dyDescent="0.3">
      <c r="D63" s="68"/>
      <c r="E63" s="37" t="str">
        <f>IF(C63&lt;&gt;"",AVERAGEIFS('Données clés'!B:B,'Données clés'!A:A,'Tableau de bord'!$D63),"")</f>
        <v/>
      </c>
      <c r="F63" s="37" t="str">
        <f>IF(AND(D63&lt;&gt;"",NOT(ISERROR(_xlfn.MINIFS('Données clés'!E:E,'Données clés'!B:B,'Tableau de bord'!$D63)))),_xlfn.MINIFS('Données clés'!E:E,'Données clés'!B:B,'Tableau de bord'!$D63),"")</f>
        <v/>
      </c>
      <c r="G63" s="37"/>
      <c r="H63" s="88" t="str">
        <f>IF(D63&lt;&gt;"",COUNTIFS('Données clés'!B:B,'Tableau de bord'!D63,'Données clés'!P:P,"oui"),"")</f>
        <v/>
      </c>
      <c r="I63" s="88" t="str">
        <f>IF(D63&lt;&gt;"",COUNTIFS('Données clés'!B:B,'Tableau de bord'!D63,'Données clés'!P:P,"non"),"")</f>
        <v/>
      </c>
      <c r="K63" s="88" t="str">
        <f>IF(D63&lt;&gt;"",COUNTIFS('Données clés'!B:B,'Tableau de bord'!D63),"")</f>
        <v/>
      </c>
      <c r="M63" s="67"/>
    </row>
    <row r="64" spans="4:13" ht="28.5" x14ac:dyDescent="0.3">
      <c r="D64" s="68"/>
      <c r="E64" s="37" t="str">
        <f>IF(C64&lt;&gt;"",AVERAGEIFS('Données clés'!B:B,'Données clés'!A:A,'Tableau de bord'!$D64),"")</f>
        <v/>
      </c>
      <c r="F64" s="37" t="str">
        <f>IF(AND(D64&lt;&gt;"",NOT(ISERROR(_xlfn.MINIFS('Données clés'!E:E,'Données clés'!B:B,'Tableau de bord'!$D64)))),_xlfn.MINIFS('Données clés'!E:E,'Données clés'!B:B,'Tableau de bord'!$D64),"")</f>
        <v/>
      </c>
      <c r="G64" s="37"/>
      <c r="H64" s="88" t="str">
        <f>IF(D64&lt;&gt;"",COUNTIFS('Données clés'!B:B,'Tableau de bord'!D64,'Données clés'!P:P,"oui"),"")</f>
        <v/>
      </c>
      <c r="I64" s="88" t="str">
        <f>IF(D64&lt;&gt;"",COUNTIFS('Données clés'!B:B,'Tableau de bord'!D64,'Données clés'!P:P,"non"),"")</f>
        <v/>
      </c>
      <c r="K64" s="88" t="str">
        <f>IF(D64&lt;&gt;"",COUNTIFS('Données clés'!B:B,'Tableau de bord'!D64),"")</f>
        <v/>
      </c>
      <c r="M64" s="67"/>
    </row>
    <row r="65" spans="4:13" ht="28.5" x14ac:dyDescent="0.3">
      <c r="D65" s="68"/>
      <c r="E65" s="37" t="str">
        <f>IF(C65&lt;&gt;"",AVERAGEIFS('Données clés'!B:B,'Données clés'!A:A,'Tableau de bord'!$D65),"")</f>
        <v/>
      </c>
      <c r="F65" s="37" t="str">
        <f>IF(AND(D65&lt;&gt;"",NOT(ISERROR(_xlfn.MINIFS('Données clés'!E:E,'Données clés'!B:B,'Tableau de bord'!$D65)))),_xlfn.MINIFS('Données clés'!E:E,'Données clés'!B:B,'Tableau de bord'!$D65),"")</f>
        <v/>
      </c>
      <c r="G65" s="37"/>
      <c r="H65" s="88" t="str">
        <f>IF(D65&lt;&gt;"",COUNTIFS('Données clés'!B:B,'Tableau de bord'!D65,'Données clés'!P:P,"oui"),"")</f>
        <v/>
      </c>
      <c r="I65" s="88" t="str">
        <f>IF(D65&lt;&gt;"",COUNTIFS('Données clés'!B:B,'Tableau de bord'!D65,'Données clés'!P:P,"non"),"")</f>
        <v/>
      </c>
      <c r="K65" s="88" t="str">
        <f>IF(D65&lt;&gt;"",COUNTIFS('Données clés'!B:B,'Tableau de bord'!D65),"")</f>
        <v/>
      </c>
      <c r="M65" s="67"/>
    </row>
    <row r="66" spans="4:13" ht="28.5" x14ac:dyDescent="0.3">
      <c r="D66" s="68"/>
      <c r="E66" s="37" t="str">
        <f>IF(C66&lt;&gt;"",AVERAGEIFS('Données clés'!B:B,'Données clés'!A:A,'Tableau de bord'!$D66),"")</f>
        <v/>
      </c>
      <c r="F66" s="37" t="str">
        <f>IF(AND(D66&lt;&gt;"",NOT(ISERROR(_xlfn.MINIFS('Données clés'!E:E,'Données clés'!B:B,'Tableau de bord'!$D66)))),_xlfn.MINIFS('Données clés'!E:E,'Données clés'!B:B,'Tableau de bord'!$D66),"")</f>
        <v/>
      </c>
      <c r="G66" s="37"/>
      <c r="H66" s="88" t="str">
        <f>IF(D66&lt;&gt;"",COUNTIFS('Données clés'!B:B,'Tableau de bord'!D66,'Données clés'!P:P,"oui"),"")</f>
        <v/>
      </c>
      <c r="I66" s="88" t="str">
        <f>IF(D66&lt;&gt;"",COUNTIFS('Données clés'!B:B,'Tableau de bord'!D66,'Données clés'!P:P,"non"),"")</f>
        <v/>
      </c>
      <c r="K66" s="88" t="str">
        <f>IF(D66&lt;&gt;"",COUNTIFS('Données clés'!B:B,'Tableau de bord'!D66),"")</f>
        <v/>
      </c>
      <c r="M66" s="67"/>
    </row>
    <row r="67" spans="4:13" ht="28.5" x14ac:dyDescent="0.3">
      <c r="D67" s="68"/>
      <c r="E67" s="37" t="str">
        <f>IF(C67&lt;&gt;"",AVERAGEIFS('Données clés'!B:B,'Données clés'!A:A,'Tableau de bord'!$D67),"")</f>
        <v/>
      </c>
      <c r="F67" s="37" t="str">
        <f>IF(AND(D67&lt;&gt;"",NOT(ISERROR(_xlfn.MINIFS('Données clés'!E:E,'Données clés'!B:B,'Tableau de bord'!$D67)))),_xlfn.MINIFS('Données clés'!E:E,'Données clés'!B:B,'Tableau de bord'!$D67),"")</f>
        <v/>
      </c>
      <c r="G67" s="37"/>
      <c r="H67" s="88" t="str">
        <f>IF(D67&lt;&gt;"",COUNTIFS('Données clés'!B:B,'Tableau de bord'!D67,'Données clés'!P:P,"oui"),"")</f>
        <v/>
      </c>
      <c r="I67" s="88" t="str">
        <f>IF(D67&lt;&gt;"",COUNTIFS('Données clés'!B:B,'Tableau de bord'!D67,'Données clés'!P:P,"non"),"")</f>
        <v/>
      </c>
      <c r="K67" s="88" t="str">
        <f>IF(D67&lt;&gt;"",COUNTIFS('Données clés'!B:B,'Tableau de bord'!D67),"")</f>
        <v/>
      </c>
      <c r="M67" s="67"/>
    </row>
    <row r="68" spans="4:13" ht="28.5" x14ac:dyDescent="0.3">
      <c r="D68" s="68"/>
      <c r="E68" s="37" t="str">
        <f>IF(C68&lt;&gt;"",AVERAGEIFS('Données clés'!B:B,'Données clés'!A:A,'Tableau de bord'!$D68),"")</f>
        <v/>
      </c>
      <c r="F68" s="37" t="str">
        <f>IF(AND(D68&lt;&gt;"",NOT(ISERROR(_xlfn.MINIFS('Données clés'!E:E,'Données clés'!B:B,'Tableau de bord'!$D68)))),_xlfn.MINIFS('Données clés'!E:E,'Données clés'!B:B,'Tableau de bord'!$D68),"")</f>
        <v/>
      </c>
      <c r="G68" s="37"/>
      <c r="H68" s="88" t="str">
        <f>IF(D68&lt;&gt;"",COUNTIFS('Données clés'!B:B,'Tableau de bord'!D68,'Données clés'!P:P,"oui"),"")</f>
        <v/>
      </c>
      <c r="I68" s="88" t="str">
        <f>IF(D68&lt;&gt;"",COUNTIFS('Données clés'!B:B,'Tableau de bord'!D68,'Données clés'!P:P,"non"),"")</f>
        <v/>
      </c>
      <c r="K68" s="88" t="str">
        <f>IF(D68&lt;&gt;"",COUNTIFS('Données clés'!B:B,'Tableau de bord'!D68),"")</f>
        <v/>
      </c>
      <c r="M68" s="67"/>
    </row>
    <row r="69" spans="4:13" ht="28.5" x14ac:dyDescent="0.3">
      <c r="D69" s="68"/>
      <c r="E69" s="37" t="str">
        <f>IF(C69&lt;&gt;"",AVERAGEIFS('Données clés'!B:B,'Données clés'!A:A,'Tableau de bord'!$D69),"")</f>
        <v/>
      </c>
      <c r="F69" s="37" t="str">
        <f>IF(AND(D69&lt;&gt;"",NOT(ISERROR(_xlfn.MINIFS('Données clés'!E:E,'Données clés'!B:B,'Tableau de bord'!$D69)))),_xlfn.MINIFS('Données clés'!E:E,'Données clés'!B:B,'Tableau de bord'!$D69),"")</f>
        <v/>
      </c>
      <c r="G69" s="37"/>
      <c r="H69" s="88" t="str">
        <f>IF(D69&lt;&gt;"",COUNTIFS('Données clés'!B:B,'Tableau de bord'!D69,'Données clés'!P:P,"oui"),"")</f>
        <v/>
      </c>
      <c r="I69" s="88" t="str">
        <f>IF(D69&lt;&gt;"",COUNTIFS('Données clés'!B:B,'Tableau de bord'!D69,'Données clés'!P:P,"non"),"")</f>
        <v/>
      </c>
      <c r="K69" s="88" t="str">
        <f>IF(D69&lt;&gt;"",COUNTIFS('Données clés'!B:B,'Tableau de bord'!D69),"")</f>
        <v/>
      </c>
      <c r="M69" s="67"/>
    </row>
    <row r="70" spans="4:13" ht="28.5" x14ac:dyDescent="0.3">
      <c r="D70" s="68"/>
      <c r="E70" s="37" t="str">
        <f>IF(C70&lt;&gt;"",AVERAGEIFS('Données clés'!B:B,'Données clés'!A:A,'Tableau de bord'!$D70),"")</f>
        <v/>
      </c>
      <c r="F70" s="37" t="str">
        <f>IF(AND(D70&lt;&gt;"",NOT(ISERROR(_xlfn.MINIFS('Données clés'!E:E,'Données clés'!B:B,'Tableau de bord'!$D70)))),_xlfn.MINIFS('Données clés'!E:E,'Données clés'!B:B,'Tableau de bord'!$D70),"")</f>
        <v/>
      </c>
      <c r="G70" s="37"/>
      <c r="H70" s="88" t="str">
        <f>IF(D70&lt;&gt;"",COUNTIFS('Données clés'!B:B,'Tableau de bord'!D70,'Données clés'!P:P,"oui"),"")</f>
        <v/>
      </c>
      <c r="I70" s="88" t="str">
        <f>IF(D70&lt;&gt;"",COUNTIFS('Données clés'!B:B,'Tableau de bord'!D70,'Données clés'!P:P,"non"),"")</f>
        <v/>
      </c>
      <c r="K70" s="88" t="str">
        <f>IF(D70&lt;&gt;"",COUNTIFS('Données clés'!B:B,'Tableau de bord'!D70),"")</f>
        <v/>
      </c>
      <c r="M70" s="67"/>
    </row>
    <row r="71" spans="4:13" ht="28.5" x14ac:dyDescent="0.3">
      <c r="D71" s="68"/>
      <c r="E71" s="37" t="str">
        <f>IF(C71&lt;&gt;"",AVERAGEIFS('Données clés'!B:B,'Données clés'!A:A,'Tableau de bord'!$D71),"")</f>
        <v/>
      </c>
      <c r="F71" s="37" t="str">
        <f>IF(AND(D71&lt;&gt;"",NOT(ISERROR(_xlfn.MINIFS('Données clés'!E:E,'Données clés'!B:B,'Tableau de bord'!$D71)))),_xlfn.MINIFS('Données clés'!E:E,'Données clés'!B:B,'Tableau de bord'!$D71),"")</f>
        <v/>
      </c>
      <c r="G71" s="37"/>
      <c r="H71" s="88" t="str">
        <f>IF(D71&lt;&gt;"",COUNTIFS('Données clés'!B:B,'Tableau de bord'!D71,'Données clés'!P:P,"oui"),"")</f>
        <v/>
      </c>
      <c r="I71" s="88" t="str">
        <f>IF(D71&lt;&gt;"",COUNTIFS('Données clés'!B:B,'Tableau de bord'!D71,'Données clés'!P:P,"non"),"")</f>
        <v/>
      </c>
      <c r="K71" s="88" t="str">
        <f>IF(D71&lt;&gt;"",COUNTIFS('Données clés'!B:B,'Tableau de bord'!D71),"")</f>
        <v/>
      </c>
      <c r="M71" s="67"/>
    </row>
    <row r="72" spans="4:13" ht="28.5" x14ac:dyDescent="0.3">
      <c r="D72" s="68"/>
      <c r="E72" s="37" t="str">
        <f>IF(C72&lt;&gt;"",AVERAGEIFS('Données clés'!B:B,'Données clés'!A:A,'Tableau de bord'!$D72),"")</f>
        <v/>
      </c>
      <c r="F72" s="37" t="str">
        <f>IF(AND(D72&lt;&gt;"",NOT(ISERROR(_xlfn.MINIFS('Données clés'!E:E,'Données clés'!B:B,'Tableau de bord'!$D72)))),_xlfn.MINIFS('Données clés'!E:E,'Données clés'!B:B,'Tableau de bord'!$D72),"")</f>
        <v/>
      </c>
      <c r="G72" s="37"/>
      <c r="H72" s="88" t="str">
        <f>IF(D72&lt;&gt;"",COUNTIFS('Données clés'!B:B,'Tableau de bord'!D72,'Données clés'!P:P,"oui"),"")</f>
        <v/>
      </c>
      <c r="I72" s="88" t="str">
        <f>IF(D72&lt;&gt;"",COUNTIFS('Données clés'!B:B,'Tableau de bord'!D72,'Données clés'!P:P,"non"),"")</f>
        <v/>
      </c>
      <c r="K72" s="88" t="str">
        <f>IF(D72&lt;&gt;"",COUNTIFS('Données clés'!B:B,'Tableau de bord'!D72),"")</f>
        <v/>
      </c>
      <c r="M72" s="67"/>
    </row>
    <row r="73" spans="4:13" ht="28.5" x14ac:dyDescent="0.3">
      <c r="D73" s="68"/>
      <c r="E73" s="37" t="str">
        <f>IF(C73&lt;&gt;"",AVERAGEIFS('Données clés'!B:B,'Données clés'!A:A,'Tableau de bord'!$D73),"")</f>
        <v/>
      </c>
      <c r="F73" s="37" t="str">
        <f>IF(AND(D73&lt;&gt;"",NOT(ISERROR(_xlfn.MINIFS('Données clés'!E:E,'Données clés'!B:B,'Tableau de bord'!$D73)))),_xlfn.MINIFS('Données clés'!E:E,'Données clés'!B:B,'Tableau de bord'!$D73),"")</f>
        <v/>
      </c>
      <c r="G73" s="37"/>
      <c r="H73" s="88" t="str">
        <f>IF(D73&lt;&gt;"",COUNTIFS('Données clés'!B:B,'Tableau de bord'!D73,'Données clés'!P:P,"oui"),"")</f>
        <v/>
      </c>
      <c r="I73" s="88" t="str">
        <f>IF(D73&lt;&gt;"",COUNTIFS('Données clés'!B:B,'Tableau de bord'!D73,'Données clés'!P:P,"non"),"")</f>
        <v/>
      </c>
      <c r="K73" s="88" t="str">
        <f>IF(D73&lt;&gt;"",COUNTIFS('Données clés'!B:B,'Tableau de bord'!D73),"")</f>
        <v/>
      </c>
      <c r="M73" s="67"/>
    </row>
    <row r="74" spans="4:13" ht="28.5" x14ac:dyDescent="0.3">
      <c r="D74" s="68"/>
      <c r="E74" s="37" t="str">
        <f>IF(C74&lt;&gt;"",AVERAGEIFS('Données clés'!B:B,'Données clés'!A:A,'Tableau de bord'!$D74),"")</f>
        <v/>
      </c>
      <c r="F74" s="37" t="str">
        <f>IF(AND(D74&lt;&gt;"",NOT(ISERROR(_xlfn.MINIFS('Données clés'!E:E,'Données clés'!B:B,'Tableau de bord'!$D74)))),_xlfn.MINIFS('Données clés'!E:E,'Données clés'!B:B,'Tableau de bord'!$D74),"")</f>
        <v/>
      </c>
      <c r="G74" s="37"/>
      <c r="H74" s="88" t="str">
        <f>IF(D74&lt;&gt;"",COUNTIFS('Données clés'!B:B,'Tableau de bord'!D74,'Données clés'!P:P,"oui"),"")</f>
        <v/>
      </c>
      <c r="I74" s="88" t="str">
        <f>IF(D74&lt;&gt;"",COUNTIFS('Données clés'!B:B,'Tableau de bord'!D74,'Données clés'!P:P,"non"),"")</f>
        <v/>
      </c>
      <c r="K74" s="88" t="str">
        <f>IF(D74&lt;&gt;"",COUNTIFS('Données clés'!B:B,'Tableau de bord'!D74),"")</f>
        <v/>
      </c>
      <c r="M74" s="67"/>
    </row>
    <row r="75" spans="4:13" ht="28.5" x14ac:dyDescent="0.3">
      <c r="D75" s="68"/>
      <c r="E75" s="37" t="str">
        <f>IF(C75&lt;&gt;"",AVERAGEIFS('Données clés'!B:B,'Données clés'!A:A,'Tableau de bord'!$D75),"")</f>
        <v/>
      </c>
      <c r="F75" s="37" t="str">
        <f>IF(AND(D75&lt;&gt;"",NOT(ISERROR(_xlfn.MINIFS('Données clés'!E:E,'Données clés'!B:B,'Tableau de bord'!$D75)))),_xlfn.MINIFS('Données clés'!E:E,'Données clés'!B:B,'Tableau de bord'!$D75),"")</f>
        <v/>
      </c>
      <c r="G75" s="37"/>
      <c r="H75" s="88" t="str">
        <f>IF(D75&lt;&gt;"",COUNTIFS('Données clés'!B:B,'Tableau de bord'!D75,'Données clés'!P:P,"oui"),"")</f>
        <v/>
      </c>
      <c r="I75" s="88" t="str">
        <f>IF(D75&lt;&gt;"",COUNTIFS('Données clés'!B:B,'Tableau de bord'!D75,'Données clés'!P:P,"non"),"")</f>
        <v/>
      </c>
      <c r="K75" s="88" t="str">
        <f>IF(D75&lt;&gt;"",COUNTIFS('Données clés'!B:B,'Tableau de bord'!D75),"")</f>
        <v/>
      </c>
      <c r="M75" s="67"/>
    </row>
    <row r="76" spans="4:13" ht="28.5" x14ac:dyDescent="0.3">
      <c r="D76" s="68"/>
      <c r="E76" s="37" t="str">
        <f>IF(C76&lt;&gt;"",AVERAGEIFS('Données clés'!B:B,'Données clés'!A:A,'Tableau de bord'!$D76),"")</f>
        <v/>
      </c>
      <c r="F76" s="37" t="str">
        <f>IF(AND(D76&lt;&gt;"",NOT(ISERROR(_xlfn.MINIFS('Données clés'!E:E,'Données clés'!B:B,'Tableau de bord'!$D76)))),_xlfn.MINIFS('Données clés'!E:E,'Données clés'!B:B,'Tableau de bord'!$D76),"")</f>
        <v/>
      </c>
      <c r="G76" s="37"/>
      <c r="H76" s="88" t="str">
        <f>IF(D76&lt;&gt;"",COUNTIFS('Données clés'!B:B,'Tableau de bord'!D76,'Données clés'!P:P,"oui"),"")</f>
        <v/>
      </c>
      <c r="I76" s="88" t="str">
        <f>IF(D76&lt;&gt;"",COUNTIFS('Données clés'!B:B,'Tableau de bord'!D76,'Données clés'!P:P,"non"),"")</f>
        <v/>
      </c>
      <c r="K76" s="88" t="str">
        <f>IF(D76&lt;&gt;"",COUNTIFS('Données clés'!B:B,'Tableau de bord'!D76),"")</f>
        <v/>
      </c>
      <c r="M76" s="67"/>
    </row>
    <row r="77" spans="4:13" ht="28.5" x14ac:dyDescent="0.3">
      <c r="D77" s="68"/>
      <c r="E77" s="37" t="str">
        <f>IF(C77&lt;&gt;"",AVERAGEIFS('Données clés'!B:B,'Données clés'!A:A,'Tableau de bord'!$D77),"")</f>
        <v/>
      </c>
      <c r="F77" s="37" t="str">
        <f>IF(AND(D77&lt;&gt;"",NOT(ISERROR(_xlfn.MINIFS('Données clés'!E:E,'Données clés'!B:B,'Tableau de bord'!$D77)))),_xlfn.MINIFS('Données clés'!E:E,'Données clés'!B:B,'Tableau de bord'!$D77),"")</f>
        <v/>
      </c>
      <c r="G77" s="37"/>
      <c r="H77" s="88" t="str">
        <f>IF(D77&lt;&gt;"",COUNTIFS('Données clés'!B:B,'Tableau de bord'!D77,'Données clés'!P:P,"oui"),"")</f>
        <v/>
      </c>
      <c r="I77" s="88" t="str">
        <f>IF(D77&lt;&gt;"",COUNTIFS('Données clés'!B:B,'Tableau de bord'!D77,'Données clés'!P:P,"non"),"")</f>
        <v/>
      </c>
      <c r="K77" s="88" t="str">
        <f>IF(D77&lt;&gt;"",COUNTIFS('Données clés'!B:B,'Tableau de bord'!D77),"")</f>
        <v/>
      </c>
      <c r="M77" s="67"/>
    </row>
    <row r="78" spans="4:13" ht="28.5" x14ac:dyDescent="0.3">
      <c r="D78" s="68"/>
      <c r="E78" s="37" t="str">
        <f>IF(C78&lt;&gt;"",AVERAGEIFS('Données clés'!B:B,'Données clés'!A:A,'Tableau de bord'!$D78),"")</f>
        <v/>
      </c>
      <c r="F78" s="37" t="str">
        <f>IF(AND(D78&lt;&gt;"",NOT(ISERROR(_xlfn.MINIFS('Données clés'!E:E,'Données clés'!B:B,'Tableau de bord'!$D78)))),_xlfn.MINIFS('Données clés'!E:E,'Données clés'!B:B,'Tableau de bord'!$D78),"")</f>
        <v/>
      </c>
      <c r="G78" s="37"/>
      <c r="H78" s="88" t="str">
        <f>IF(D78&lt;&gt;"",COUNTIFS('Données clés'!B:B,'Tableau de bord'!D78,'Données clés'!P:P,"oui"),"")</f>
        <v/>
      </c>
      <c r="I78" s="88" t="str">
        <f>IF(D78&lt;&gt;"",COUNTIFS('Données clés'!B:B,'Tableau de bord'!D78,'Données clés'!P:P,"non"),"")</f>
        <v/>
      </c>
      <c r="K78" s="88" t="str">
        <f>IF(D78&lt;&gt;"",COUNTIFS('Données clés'!B:B,'Tableau de bord'!D78),"")</f>
        <v/>
      </c>
      <c r="M78" s="67"/>
    </row>
    <row r="79" spans="4:13" ht="28.5" x14ac:dyDescent="0.3">
      <c r="D79" s="68"/>
      <c r="E79" s="37" t="str">
        <f>IF(C79&lt;&gt;"",AVERAGEIFS('Données clés'!B:B,'Données clés'!A:A,'Tableau de bord'!$D79),"")</f>
        <v/>
      </c>
      <c r="F79" s="37" t="str">
        <f>IF(AND(D79&lt;&gt;"",NOT(ISERROR(_xlfn.MINIFS('Données clés'!E:E,'Données clés'!B:B,'Tableau de bord'!$D79)))),_xlfn.MINIFS('Données clés'!E:E,'Données clés'!B:B,'Tableau de bord'!$D79),"")</f>
        <v/>
      </c>
      <c r="G79" s="37"/>
      <c r="H79" s="88" t="str">
        <f>IF(D79&lt;&gt;"",COUNTIFS('Données clés'!B:B,'Tableau de bord'!D79,'Données clés'!P:P,"oui"),"")</f>
        <v/>
      </c>
      <c r="I79" s="88" t="str">
        <f>IF(D79&lt;&gt;"",COUNTIFS('Données clés'!B:B,'Tableau de bord'!D79,'Données clés'!P:P,"non"),"")</f>
        <v/>
      </c>
      <c r="K79" s="88" t="str">
        <f>IF(D79&lt;&gt;"",COUNTIFS('Données clés'!B:B,'Tableau de bord'!D79),"")</f>
        <v/>
      </c>
      <c r="M79" s="67"/>
    </row>
    <row r="80" spans="4:13" ht="28.5" x14ac:dyDescent="0.3">
      <c r="D80" s="68"/>
      <c r="E80" s="37" t="str">
        <f>IF(C80&lt;&gt;"",AVERAGEIFS('Données clés'!B:B,'Données clés'!A:A,'Tableau de bord'!$D80),"")</f>
        <v/>
      </c>
      <c r="F80" s="37" t="str">
        <f>IF(AND(D80&lt;&gt;"",NOT(ISERROR(_xlfn.MINIFS('Données clés'!E:E,'Données clés'!B:B,'Tableau de bord'!$D80)))),_xlfn.MINIFS('Données clés'!E:E,'Données clés'!B:B,'Tableau de bord'!$D80),"")</f>
        <v/>
      </c>
      <c r="G80" s="37"/>
      <c r="H80" s="88" t="str">
        <f>IF(D80&lt;&gt;"",COUNTIFS('Données clés'!B:B,'Tableau de bord'!D80,'Données clés'!P:P,"oui"),"")</f>
        <v/>
      </c>
      <c r="I80" s="88" t="str">
        <f>IF(D80&lt;&gt;"",COUNTIFS('Données clés'!B:B,'Tableau de bord'!D80,'Données clés'!P:P,"non"),"")</f>
        <v/>
      </c>
      <c r="K80" s="88" t="str">
        <f>IF(D80&lt;&gt;"",COUNTIFS('Données clés'!B:B,'Tableau de bord'!D80),"")</f>
        <v/>
      </c>
      <c r="M80" s="67"/>
    </row>
    <row r="81" spans="4:13" ht="28.5" x14ac:dyDescent="0.3">
      <c r="D81" s="68"/>
      <c r="E81" s="37" t="str">
        <f>IF(C81&lt;&gt;"",AVERAGEIFS('Données clés'!B:B,'Données clés'!A:A,'Tableau de bord'!$D81),"")</f>
        <v/>
      </c>
      <c r="F81" s="37" t="str">
        <f>IF(AND(D81&lt;&gt;"",NOT(ISERROR(_xlfn.MINIFS('Données clés'!E:E,'Données clés'!B:B,'Tableau de bord'!$D81)))),_xlfn.MINIFS('Données clés'!E:E,'Données clés'!B:B,'Tableau de bord'!$D81),"")</f>
        <v/>
      </c>
      <c r="G81" s="37"/>
      <c r="H81" s="88" t="str">
        <f>IF(D81&lt;&gt;"",COUNTIFS('Données clés'!B:B,'Tableau de bord'!D81,'Données clés'!P:P,"oui"),"")</f>
        <v/>
      </c>
      <c r="I81" s="88" t="str">
        <f>IF(D81&lt;&gt;"",COUNTIFS('Données clés'!B:B,'Tableau de bord'!D81,'Données clés'!P:P,"non"),"")</f>
        <v/>
      </c>
      <c r="K81" s="88" t="str">
        <f>IF(D81&lt;&gt;"",COUNTIFS('Données clés'!B:B,'Tableau de bord'!D81),"")</f>
        <v/>
      </c>
      <c r="M81" s="67"/>
    </row>
    <row r="82" spans="4:13" ht="28.5" x14ac:dyDescent="0.3">
      <c r="D82" s="68"/>
      <c r="E82" s="37" t="str">
        <f>IF(C82&lt;&gt;"",AVERAGEIFS('Données clés'!B:B,'Données clés'!A:A,'Tableau de bord'!$D82),"")</f>
        <v/>
      </c>
      <c r="F82" s="37" t="str">
        <f>IF(AND(D82&lt;&gt;"",NOT(ISERROR(_xlfn.MINIFS('Données clés'!E:E,'Données clés'!B:B,'Tableau de bord'!$D82)))),_xlfn.MINIFS('Données clés'!E:E,'Données clés'!B:B,'Tableau de bord'!$D82),"")</f>
        <v/>
      </c>
      <c r="G82" s="37"/>
      <c r="H82" s="88" t="str">
        <f>IF(D82&lt;&gt;"",COUNTIFS('Données clés'!B:B,'Tableau de bord'!D82,'Données clés'!P:P,"oui"),"")</f>
        <v/>
      </c>
      <c r="I82" s="88" t="str">
        <f>IF(D82&lt;&gt;"",COUNTIFS('Données clés'!B:B,'Tableau de bord'!D82,'Données clés'!P:P,"non"),"")</f>
        <v/>
      </c>
      <c r="K82" s="88" t="str">
        <f>IF(D82&lt;&gt;"",COUNTIFS('Données clés'!B:B,'Tableau de bord'!D82),"")</f>
        <v/>
      </c>
      <c r="M82" s="67"/>
    </row>
    <row r="83" spans="4:13" ht="28.5" x14ac:dyDescent="0.3">
      <c r="D83" s="68"/>
      <c r="E83" s="37" t="str">
        <f>IF(C83&lt;&gt;"",AVERAGEIFS('Données clés'!B:B,'Données clés'!A:A,'Tableau de bord'!$D83),"")</f>
        <v/>
      </c>
      <c r="F83" s="37" t="str">
        <f>IF(AND(D83&lt;&gt;"",NOT(ISERROR(_xlfn.MINIFS('Données clés'!E:E,'Données clés'!B:B,'Tableau de bord'!$D83)))),_xlfn.MINIFS('Données clés'!E:E,'Données clés'!B:B,'Tableau de bord'!$D83),"")</f>
        <v/>
      </c>
      <c r="G83" s="37"/>
      <c r="H83" s="88" t="str">
        <f>IF(D83&lt;&gt;"",COUNTIFS('Données clés'!B:B,'Tableau de bord'!D83,'Données clés'!P:P,"oui"),"")</f>
        <v/>
      </c>
      <c r="I83" s="88" t="str">
        <f>IF(D83&lt;&gt;"",COUNTIFS('Données clés'!B:B,'Tableau de bord'!D83,'Données clés'!P:P,"non"),"")</f>
        <v/>
      </c>
      <c r="K83" s="88" t="str">
        <f>IF(D83&lt;&gt;"",COUNTIFS('Données clés'!B:B,'Tableau de bord'!D83),"")</f>
        <v/>
      </c>
      <c r="M83" s="67"/>
    </row>
    <row r="84" spans="4:13" ht="28.5" x14ac:dyDescent="0.3">
      <c r="D84" s="68"/>
      <c r="E84" s="37" t="str">
        <f>IF(C84&lt;&gt;"",AVERAGEIFS('Données clés'!B:B,'Données clés'!A:A,'Tableau de bord'!$D84),"")</f>
        <v/>
      </c>
      <c r="F84" s="37" t="str">
        <f>IF(AND(D84&lt;&gt;"",NOT(ISERROR(_xlfn.MINIFS('Données clés'!E:E,'Données clés'!B:B,'Tableau de bord'!$D84)))),_xlfn.MINIFS('Données clés'!E:E,'Données clés'!B:B,'Tableau de bord'!$D84),"")</f>
        <v/>
      </c>
      <c r="G84" s="37"/>
      <c r="H84" s="88" t="str">
        <f>IF(D84&lt;&gt;"",COUNTIFS('Données clés'!B:B,'Tableau de bord'!D84,'Données clés'!P:P,"oui"),"")</f>
        <v/>
      </c>
      <c r="I84" s="88" t="str">
        <f>IF(D84&lt;&gt;"",COUNTIFS('Données clés'!B:B,'Tableau de bord'!D84,'Données clés'!P:P,"non"),"")</f>
        <v/>
      </c>
      <c r="K84" s="88" t="str">
        <f>IF(D84&lt;&gt;"",COUNTIFS('Données clés'!B:B,'Tableau de bord'!D84),"")</f>
        <v/>
      </c>
      <c r="M84" s="67"/>
    </row>
    <row r="85" spans="4:13" ht="28.5" x14ac:dyDescent="0.3">
      <c r="D85" s="68"/>
      <c r="E85" s="37" t="str">
        <f>IF(C85&lt;&gt;"",AVERAGEIFS('Données clés'!B:B,'Données clés'!A:A,'Tableau de bord'!$D85),"")</f>
        <v/>
      </c>
      <c r="F85" s="37" t="str">
        <f>IF(AND(D85&lt;&gt;"",NOT(ISERROR(_xlfn.MINIFS('Données clés'!E:E,'Données clés'!B:B,'Tableau de bord'!$D85)))),_xlfn.MINIFS('Données clés'!E:E,'Données clés'!B:B,'Tableau de bord'!$D85),"")</f>
        <v/>
      </c>
      <c r="G85" s="37"/>
      <c r="H85" s="88" t="str">
        <f>IF(D85&lt;&gt;"",COUNTIFS('Données clés'!B:B,'Tableau de bord'!D85,'Données clés'!P:P,"oui"),"")</f>
        <v/>
      </c>
      <c r="I85" s="88" t="str">
        <f>IF(D85&lt;&gt;"",COUNTIFS('Données clés'!B:B,'Tableau de bord'!D85,'Données clés'!P:P,"non"),"")</f>
        <v/>
      </c>
      <c r="K85" s="88" t="str">
        <f>IF(D85&lt;&gt;"",COUNTIFS('Données clés'!B:B,'Tableau de bord'!D85),"")</f>
        <v/>
      </c>
      <c r="M85" s="67"/>
    </row>
    <row r="86" spans="4:13" ht="28.5" x14ac:dyDescent="0.3">
      <c r="D86" s="68"/>
      <c r="E86" s="37" t="str">
        <f>IF(C86&lt;&gt;"",AVERAGEIFS('Données clés'!B:B,'Données clés'!A:A,'Tableau de bord'!$D86),"")</f>
        <v/>
      </c>
      <c r="F86" s="37" t="str">
        <f>IF(AND(D86&lt;&gt;"",NOT(ISERROR(_xlfn.MINIFS('Données clés'!E:E,'Données clés'!B:B,'Tableau de bord'!$D86)))),_xlfn.MINIFS('Données clés'!E:E,'Données clés'!B:B,'Tableau de bord'!$D86),"")</f>
        <v/>
      </c>
      <c r="G86" s="37"/>
      <c r="H86" s="88" t="str">
        <f>IF(D86&lt;&gt;"",COUNTIFS('Données clés'!B:B,'Tableau de bord'!D86,'Données clés'!P:P,"oui"),"")</f>
        <v/>
      </c>
      <c r="I86" s="88" t="str">
        <f>IF(D86&lt;&gt;"",COUNTIFS('Données clés'!B:B,'Tableau de bord'!D86,'Données clés'!P:P,"non"),"")</f>
        <v/>
      </c>
      <c r="K86" s="88" t="str">
        <f>IF(D86&lt;&gt;"",COUNTIFS('Données clés'!B:B,'Tableau de bord'!D86),"")</f>
        <v/>
      </c>
      <c r="M86" s="67"/>
    </row>
    <row r="87" spans="4:13" ht="28.5" x14ac:dyDescent="0.3">
      <c r="D87" s="68"/>
      <c r="E87" s="37" t="str">
        <f>IF(C87&lt;&gt;"",AVERAGEIFS('Données clés'!B:B,'Données clés'!A:A,'Tableau de bord'!$D87),"")</f>
        <v/>
      </c>
      <c r="F87" s="37" t="str">
        <f>IF(AND(D87&lt;&gt;"",NOT(ISERROR(_xlfn.MINIFS('Données clés'!E:E,'Données clés'!B:B,'Tableau de bord'!$D87)))),_xlfn.MINIFS('Données clés'!E:E,'Données clés'!B:B,'Tableau de bord'!$D87),"")</f>
        <v/>
      </c>
      <c r="G87" s="37"/>
      <c r="H87" s="88" t="str">
        <f>IF(D87&lt;&gt;"",COUNTIFS('Données clés'!B:B,'Tableau de bord'!D87,'Données clés'!P:P,"oui"),"")</f>
        <v/>
      </c>
      <c r="I87" s="88" t="str">
        <f>IF(D87&lt;&gt;"",COUNTIFS('Données clés'!B:B,'Tableau de bord'!D87,'Données clés'!P:P,"non"),"")</f>
        <v/>
      </c>
      <c r="K87" s="88" t="str">
        <f>IF(D87&lt;&gt;"",COUNTIFS('Données clés'!B:B,'Tableau de bord'!D87),"")</f>
        <v/>
      </c>
      <c r="M87" s="67"/>
    </row>
    <row r="88" spans="4:13" ht="28.5" x14ac:dyDescent="0.3">
      <c r="D88" s="68"/>
      <c r="E88" s="37" t="str">
        <f>IF(C88&lt;&gt;"",AVERAGEIFS('Données clés'!B:B,'Données clés'!A:A,'Tableau de bord'!$D88),"")</f>
        <v/>
      </c>
      <c r="F88" s="37" t="str">
        <f>IF(AND(D88&lt;&gt;"",NOT(ISERROR(_xlfn.MINIFS('Données clés'!E:E,'Données clés'!B:B,'Tableau de bord'!$D88)))),_xlfn.MINIFS('Données clés'!E:E,'Données clés'!B:B,'Tableau de bord'!$D88),"")</f>
        <v/>
      </c>
      <c r="G88" s="37"/>
      <c r="H88" s="88" t="str">
        <f>IF(D88&lt;&gt;"",COUNTIFS('Données clés'!B:B,'Tableau de bord'!D88,'Données clés'!P:P,"oui"),"")</f>
        <v/>
      </c>
      <c r="I88" s="88" t="str">
        <f>IF(D88&lt;&gt;"",COUNTIFS('Données clés'!B:B,'Tableau de bord'!D88,'Données clés'!P:P,"non"),"")</f>
        <v/>
      </c>
      <c r="K88" s="88" t="str">
        <f>IF(D88&lt;&gt;"",COUNTIFS('Données clés'!B:B,'Tableau de bord'!D88),"")</f>
        <v/>
      </c>
      <c r="M88" s="67"/>
    </row>
    <row r="89" spans="4:13" ht="28.5" x14ac:dyDescent="0.3">
      <c r="D89" s="68"/>
      <c r="E89" s="37" t="str">
        <f>IF(C89&lt;&gt;"",AVERAGEIFS('Données clés'!B:B,'Données clés'!A:A,'Tableau de bord'!$D89),"")</f>
        <v/>
      </c>
      <c r="F89" s="37" t="str">
        <f>IF(AND(D89&lt;&gt;"",NOT(ISERROR(_xlfn.MINIFS('Données clés'!E:E,'Données clés'!B:B,'Tableau de bord'!$D89)))),_xlfn.MINIFS('Données clés'!E:E,'Données clés'!B:B,'Tableau de bord'!$D89),"")</f>
        <v/>
      </c>
      <c r="G89" s="37"/>
      <c r="H89" s="88" t="str">
        <f>IF(D89&lt;&gt;"",COUNTIFS('Données clés'!B:B,'Tableau de bord'!D89,'Données clés'!P:P,"oui"),"")</f>
        <v/>
      </c>
      <c r="I89" s="88" t="str">
        <f>IF(D89&lt;&gt;"",COUNTIFS('Données clés'!B:B,'Tableau de bord'!D89,'Données clés'!P:P,"non"),"")</f>
        <v/>
      </c>
      <c r="K89" s="88" t="str">
        <f>IF(D89&lt;&gt;"",COUNTIFS('Données clés'!B:B,'Tableau de bord'!D89),"")</f>
        <v/>
      </c>
      <c r="M89" s="67"/>
    </row>
    <row r="90" spans="4:13" ht="28.5" x14ac:dyDescent="0.3">
      <c r="D90" s="68"/>
      <c r="E90" s="37" t="str">
        <f>IF(C90&lt;&gt;"",AVERAGEIFS('Données clés'!B:B,'Données clés'!A:A,'Tableau de bord'!$D90),"")</f>
        <v/>
      </c>
      <c r="F90" s="37" t="str">
        <f>IF(AND(D90&lt;&gt;"",NOT(ISERROR(_xlfn.MINIFS('Données clés'!E:E,'Données clés'!B:B,'Tableau de bord'!$D90)))),_xlfn.MINIFS('Données clés'!E:E,'Données clés'!B:B,'Tableau de bord'!$D90),"")</f>
        <v/>
      </c>
      <c r="G90" s="37"/>
      <c r="H90" s="88" t="str">
        <f>IF(D90&lt;&gt;"",COUNTIFS('Données clés'!B:B,'Tableau de bord'!D90,'Données clés'!P:P,"oui"),"")</f>
        <v/>
      </c>
      <c r="I90" s="88" t="str">
        <f>IF(D90&lt;&gt;"",COUNTIFS('Données clés'!B:B,'Tableau de bord'!D90,'Données clés'!P:P,"non"),"")</f>
        <v/>
      </c>
      <c r="K90" s="88" t="str">
        <f>IF(D90&lt;&gt;"",COUNTIFS('Données clés'!B:B,'Tableau de bord'!D90),"")</f>
        <v/>
      </c>
      <c r="M90" s="67"/>
    </row>
    <row r="91" spans="4:13" ht="28.5" x14ac:dyDescent="0.3">
      <c r="D91" s="68"/>
      <c r="E91" s="37" t="str">
        <f>IF(C91&lt;&gt;"",AVERAGEIFS('Données clés'!B:B,'Données clés'!A:A,'Tableau de bord'!$D91),"")</f>
        <v/>
      </c>
      <c r="F91" s="37" t="str">
        <f>IF(AND(D91&lt;&gt;"",NOT(ISERROR(_xlfn.MINIFS('Données clés'!E:E,'Données clés'!B:B,'Tableau de bord'!$D91)))),_xlfn.MINIFS('Données clés'!E:E,'Données clés'!B:B,'Tableau de bord'!$D91),"")</f>
        <v/>
      </c>
      <c r="G91" s="37"/>
      <c r="H91" s="88" t="str">
        <f>IF(D91&lt;&gt;"",COUNTIFS('Données clés'!B:B,'Tableau de bord'!D91,'Données clés'!P:P,"oui"),"")</f>
        <v/>
      </c>
      <c r="I91" s="88" t="str">
        <f>IF(D91&lt;&gt;"",COUNTIFS('Données clés'!B:B,'Tableau de bord'!D91,'Données clés'!P:P,"non"),"")</f>
        <v/>
      </c>
      <c r="K91" s="88" t="str">
        <f>IF(D91&lt;&gt;"",COUNTIFS('Données clés'!B:B,'Tableau de bord'!D91),"")</f>
        <v/>
      </c>
      <c r="M91" s="67"/>
    </row>
    <row r="92" spans="4:13" ht="28.5" x14ac:dyDescent="0.3">
      <c r="D92" s="68"/>
      <c r="E92" s="37" t="str">
        <f>IF(C92&lt;&gt;"",AVERAGEIFS('Données clés'!B:B,'Données clés'!A:A,'Tableau de bord'!$D92),"")</f>
        <v/>
      </c>
      <c r="F92" s="37" t="str">
        <f>IF(AND(D92&lt;&gt;"",NOT(ISERROR(_xlfn.MINIFS('Données clés'!E:E,'Données clés'!B:B,'Tableau de bord'!$D92)))),_xlfn.MINIFS('Données clés'!E:E,'Données clés'!B:B,'Tableau de bord'!$D92),"")</f>
        <v/>
      </c>
      <c r="G92" s="37"/>
      <c r="H92" s="88" t="str">
        <f>IF(D92&lt;&gt;"",COUNTIFS('Données clés'!B:B,'Tableau de bord'!D92,'Données clés'!P:P,"oui"),"")</f>
        <v/>
      </c>
      <c r="I92" s="88" t="str">
        <f>IF(D92&lt;&gt;"",COUNTIFS('Données clés'!B:B,'Tableau de bord'!D92,'Données clés'!P:P,"non"),"")</f>
        <v/>
      </c>
      <c r="K92" s="88" t="str">
        <f>IF(D92&lt;&gt;"",COUNTIFS('Données clés'!B:B,'Tableau de bord'!D92),"")</f>
        <v/>
      </c>
      <c r="M92" s="67"/>
    </row>
    <row r="93" spans="4:13" ht="28.5" x14ac:dyDescent="0.3">
      <c r="D93" s="68"/>
      <c r="E93" s="37" t="str">
        <f>IF(C93&lt;&gt;"",AVERAGEIFS('Données clés'!B:B,'Données clés'!A:A,'Tableau de bord'!$D93),"")</f>
        <v/>
      </c>
      <c r="F93" s="37" t="str">
        <f>IF(AND(D93&lt;&gt;"",NOT(ISERROR(_xlfn.MINIFS('Données clés'!E:E,'Données clés'!B:B,'Tableau de bord'!$D93)))),_xlfn.MINIFS('Données clés'!E:E,'Données clés'!B:B,'Tableau de bord'!$D93),"")</f>
        <v/>
      </c>
      <c r="G93" s="37"/>
      <c r="H93" s="88" t="str">
        <f>IF(D93&lt;&gt;"",COUNTIFS('Données clés'!B:B,'Tableau de bord'!D93,'Données clés'!P:P,"oui"),"")</f>
        <v/>
      </c>
      <c r="I93" s="88" t="str">
        <f>IF(D93&lt;&gt;"",COUNTIFS('Données clés'!B:B,'Tableau de bord'!D93,'Données clés'!P:P,"non"),"")</f>
        <v/>
      </c>
      <c r="K93" s="88" t="str">
        <f>IF(D93&lt;&gt;"",COUNTIFS('Données clés'!B:B,'Tableau de bord'!D93),"")</f>
        <v/>
      </c>
      <c r="M93" s="67"/>
    </row>
    <row r="94" spans="4:13" ht="28.5" x14ac:dyDescent="0.3">
      <c r="D94" s="68"/>
      <c r="E94" s="37" t="str">
        <f>IF(C94&lt;&gt;"",AVERAGEIFS('Données clés'!B:B,'Données clés'!A:A,'Tableau de bord'!$D94),"")</f>
        <v/>
      </c>
      <c r="F94" s="37" t="str">
        <f>IF(AND(D94&lt;&gt;"",NOT(ISERROR(_xlfn.MINIFS('Données clés'!E:E,'Données clés'!B:B,'Tableau de bord'!$D94)))),_xlfn.MINIFS('Données clés'!E:E,'Données clés'!B:B,'Tableau de bord'!$D94),"")</f>
        <v/>
      </c>
      <c r="G94" s="37"/>
      <c r="H94" s="88" t="str">
        <f>IF(D94&lt;&gt;"",COUNTIFS('Données clés'!B:B,'Tableau de bord'!D94,'Données clés'!P:P,"oui"),"")</f>
        <v/>
      </c>
      <c r="I94" s="88" t="str">
        <f>IF(D94&lt;&gt;"",COUNTIFS('Données clés'!B:B,'Tableau de bord'!D94,'Données clés'!P:P,"non"),"")</f>
        <v/>
      </c>
      <c r="K94" s="88" t="str">
        <f>IF(D94&lt;&gt;"",COUNTIFS('Données clés'!B:B,'Tableau de bord'!D94),"")</f>
        <v/>
      </c>
      <c r="M94" s="67"/>
    </row>
    <row r="95" spans="4:13" ht="28.5" x14ac:dyDescent="0.3">
      <c r="D95" s="68"/>
      <c r="E95" s="37" t="str">
        <f>IF(C95&lt;&gt;"",AVERAGEIFS('Données clés'!B:B,'Données clés'!A:A,'Tableau de bord'!$D95),"")</f>
        <v/>
      </c>
      <c r="F95" s="37" t="str">
        <f>IF(AND(D95&lt;&gt;"",NOT(ISERROR(_xlfn.MINIFS('Données clés'!E:E,'Données clés'!B:B,'Tableau de bord'!$D95)))),_xlfn.MINIFS('Données clés'!E:E,'Données clés'!B:B,'Tableau de bord'!$D95),"")</f>
        <v/>
      </c>
      <c r="G95" s="37"/>
      <c r="H95" s="88" t="str">
        <f>IF(D95&lt;&gt;"",COUNTIFS('Données clés'!B:B,'Tableau de bord'!D95,'Données clés'!P:P,"oui"),"")</f>
        <v/>
      </c>
      <c r="I95" s="88" t="str">
        <f>IF(D95&lt;&gt;"",COUNTIFS('Données clés'!B:B,'Tableau de bord'!D95,'Données clés'!P:P,"non"),"")</f>
        <v/>
      </c>
      <c r="K95" s="88" t="str">
        <f>IF(D95&lt;&gt;"",COUNTIFS('Données clés'!B:B,'Tableau de bord'!D95),"")</f>
        <v/>
      </c>
      <c r="M95" s="67"/>
    </row>
    <row r="96" spans="4:13" ht="28.5" x14ac:dyDescent="0.3">
      <c r="D96" s="68"/>
      <c r="E96" s="37" t="str">
        <f>IF(C96&lt;&gt;"",AVERAGEIFS('Données clés'!B:B,'Données clés'!A:A,'Tableau de bord'!$D96),"")</f>
        <v/>
      </c>
      <c r="F96" s="37" t="str">
        <f>IF(AND(D96&lt;&gt;"",NOT(ISERROR(_xlfn.MINIFS('Données clés'!E:E,'Données clés'!B:B,'Tableau de bord'!$D96)))),_xlfn.MINIFS('Données clés'!E:E,'Données clés'!B:B,'Tableau de bord'!$D96),"")</f>
        <v/>
      </c>
      <c r="G96" s="37"/>
      <c r="H96" s="88" t="str">
        <f>IF(D96&lt;&gt;"",COUNTIFS('Données clés'!B:B,'Tableau de bord'!D96,'Données clés'!P:P,"oui"),"")</f>
        <v/>
      </c>
      <c r="I96" s="88" t="str">
        <f>IF(D96&lt;&gt;"",COUNTIFS('Données clés'!B:B,'Tableau de bord'!D96,'Données clés'!P:P,"non"),"")</f>
        <v/>
      </c>
      <c r="K96" s="88" t="str">
        <f>IF(D96&lt;&gt;"",COUNTIFS('Données clés'!B:B,'Tableau de bord'!D96),"")</f>
        <v/>
      </c>
      <c r="M96" s="67"/>
    </row>
    <row r="97" spans="2:13" ht="28.5" x14ac:dyDescent="0.3">
      <c r="D97" s="68"/>
      <c r="E97" s="37" t="str">
        <f>IF(C97&lt;&gt;"",AVERAGEIFS('Données clés'!B:B,'Données clés'!A:A,'Tableau de bord'!$D97),"")</f>
        <v/>
      </c>
      <c r="F97" s="37" t="str">
        <f>IF(AND(D97&lt;&gt;"",NOT(ISERROR(_xlfn.MINIFS('Données clés'!E:E,'Données clés'!B:B,'Tableau de bord'!$D97)))),_xlfn.MINIFS('Données clés'!E:E,'Données clés'!B:B,'Tableau de bord'!$D97),"")</f>
        <v/>
      </c>
      <c r="G97" s="37"/>
      <c r="H97" s="88" t="str">
        <f>IF(D97&lt;&gt;"",COUNTIFS('Données clés'!B:B,'Tableau de bord'!D97,'Données clés'!P:P,"oui"),"")</f>
        <v/>
      </c>
      <c r="I97" s="88" t="str">
        <f>IF(D97&lt;&gt;"",COUNTIFS('Données clés'!B:B,'Tableau de bord'!D97,'Données clés'!P:P,"non"),"")</f>
        <v/>
      </c>
      <c r="K97" s="88" t="str">
        <f>IF(D97&lt;&gt;"",COUNTIFS('Données clés'!B:B,'Tableau de bord'!D97),"")</f>
        <v/>
      </c>
      <c r="M97" s="67"/>
    </row>
    <row r="98" spans="2:13" ht="28.5" x14ac:dyDescent="0.3">
      <c r="D98" s="68"/>
      <c r="E98" s="37" t="str">
        <f>IF(C98&lt;&gt;"",AVERAGEIFS('Données clés'!B:B,'Données clés'!A:A,'Tableau de bord'!$D98),"")</f>
        <v/>
      </c>
      <c r="F98" s="37" t="str">
        <f>IF(AND(D98&lt;&gt;"",NOT(ISERROR(_xlfn.MINIFS('Données clés'!E:E,'Données clés'!B:B,'Tableau de bord'!$D98)))),_xlfn.MINIFS('Données clés'!E:E,'Données clés'!B:B,'Tableau de bord'!$D98),"")</f>
        <v/>
      </c>
      <c r="G98" s="37"/>
      <c r="H98" s="88" t="str">
        <f>IF(D98&lt;&gt;"",COUNTIFS('Données clés'!B:B,'Tableau de bord'!D98,'Données clés'!P:P,"oui"),"")</f>
        <v/>
      </c>
      <c r="I98" s="88" t="str">
        <f>IF(D98&lt;&gt;"",COUNTIFS('Données clés'!B:B,'Tableau de bord'!D98,'Données clés'!P:P,"non"),"")</f>
        <v/>
      </c>
      <c r="K98" s="88" t="str">
        <f>IF(D98&lt;&gt;"",COUNTIFS('Données clés'!B:B,'Tableau de bord'!D98),"")</f>
        <v/>
      </c>
      <c r="M98" s="67"/>
    </row>
    <row r="99" spans="2:13" ht="28.5" x14ac:dyDescent="0.3">
      <c r="D99" s="68"/>
      <c r="E99" s="37" t="str">
        <f>IF(C99&lt;&gt;"",AVERAGEIFS('Données clés'!B:B,'Données clés'!A:A,'Tableau de bord'!$D99),"")</f>
        <v/>
      </c>
      <c r="F99" s="37" t="str">
        <f>IF(AND(D99&lt;&gt;"",NOT(ISERROR(_xlfn.MINIFS('Données clés'!E:E,'Données clés'!B:B,'Tableau de bord'!$D99)))),_xlfn.MINIFS('Données clés'!E:E,'Données clés'!B:B,'Tableau de bord'!$D99),"")</f>
        <v/>
      </c>
      <c r="G99" s="37"/>
      <c r="H99" s="88" t="str">
        <f>IF(D99&lt;&gt;"",COUNTIFS('Données clés'!B:B,'Tableau de bord'!D99,'Données clés'!P:P,"oui"),"")</f>
        <v/>
      </c>
      <c r="I99" s="88" t="str">
        <f>IF(D99&lt;&gt;"",COUNTIFS('Données clés'!B:B,'Tableau de bord'!D99,'Données clés'!P:P,"non"),"")</f>
        <v/>
      </c>
      <c r="K99" s="88" t="str">
        <f>IF(D99&lt;&gt;"",COUNTIFS('Données clés'!B:B,'Tableau de bord'!D99),"")</f>
        <v/>
      </c>
      <c r="M99" s="67"/>
    </row>
    <row r="100" spans="2:13" ht="28.5" x14ac:dyDescent="0.3">
      <c r="D100" s="68"/>
      <c r="E100" s="37" t="str">
        <f>IF(C100&lt;&gt;"",AVERAGEIFS('Données clés'!B:B,'Données clés'!A:A,'Tableau de bord'!$D100),"")</f>
        <v/>
      </c>
      <c r="F100" s="37" t="str">
        <f>IF(AND(D100&lt;&gt;"",NOT(ISERROR(_xlfn.MINIFS('Données clés'!E:E,'Données clés'!B:B,'Tableau de bord'!$D100)))),_xlfn.MINIFS('Données clés'!E:E,'Données clés'!B:B,'Tableau de bord'!$D100),"")</f>
        <v/>
      </c>
      <c r="G100" s="37"/>
      <c r="H100" s="88" t="str">
        <f>IF(D100&lt;&gt;"",COUNTIFS('Données clés'!B:B,'Tableau de bord'!D100,'Données clés'!P:P,"oui"),"")</f>
        <v/>
      </c>
      <c r="I100" s="88" t="str">
        <f>IF(D100&lt;&gt;"",COUNTIFS('Données clés'!B:B,'Tableau de bord'!D100,'Données clés'!P:P,"non"),"")</f>
        <v/>
      </c>
      <c r="K100" s="88" t="str">
        <f>IF(D100&lt;&gt;"",COUNTIFS('Données clés'!B:B,'Tableau de bord'!D100),"")</f>
        <v/>
      </c>
      <c r="M100" s="67"/>
    </row>
    <row r="101" spans="2:13" ht="28.5" x14ac:dyDescent="0.3">
      <c r="D101" s="68"/>
      <c r="E101" s="37" t="str">
        <f>IF(C101&lt;&gt;"",AVERAGEIFS('Données clés'!B:B,'Données clés'!A:A,'Tableau de bord'!$D101),"")</f>
        <v/>
      </c>
      <c r="F101" s="37" t="str">
        <f>IF(AND(D101&lt;&gt;"",NOT(ISERROR(_xlfn.MINIFS('Données clés'!E:E,'Données clés'!B:B,'Tableau de bord'!$D101)))),_xlfn.MINIFS('Données clés'!E:E,'Données clés'!B:B,'Tableau de bord'!$D101),"")</f>
        <v/>
      </c>
      <c r="G101" s="37"/>
      <c r="H101" s="88" t="str">
        <f>IF(D101&lt;&gt;"",COUNTIFS('Données clés'!B:B,'Tableau de bord'!D101,'Données clés'!P:P,"oui"),"")</f>
        <v/>
      </c>
      <c r="I101" s="88" t="str">
        <f>IF(D101&lt;&gt;"",COUNTIFS('Données clés'!B:B,'Tableau de bord'!D101,'Données clés'!P:P,"non"),"")</f>
        <v/>
      </c>
      <c r="K101" s="88" t="str">
        <f>IF(D101&lt;&gt;"",COUNTIFS('Données clés'!B:B,'Tableau de bord'!D101),"")</f>
        <v/>
      </c>
      <c r="M101" s="67"/>
    </row>
    <row r="102" spans="2:13" ht="28.5" x14ac:dyDescent="0.3">
      <c r="D102" s="68"/>
      <c r="E102" s="37" t="str">
        <f>IF(C102&lt;&gt;"",AVERAGEIFS('Données clés'!B:B,'Données clés'!A:A,'Tableau de bord'!$D102),"")</f>
        <v/>
      </c>
      <c r="F102" s="37" t="str">
        <f>IF(AND(D102&lt;&gt;"",NOT(ISERROR(_xlfn.MINIFS('Données clés'!E:E,'Données clés'!B:B,'Tableau de bord'!$D102)))),_xlfn.MINIFS('Données clés'!E:E,'Données clés'!B:B,'Tableau de bord'!$D102),"")</f>
        <v/>
      </c>
      <c r="G102" s="37"/>
      <c r="H102" s="88" t="str">
        <f>IF(D102&lt;&gt;"",COUNTIFS('Données clés'!B:B,'Tableau de bord'!D102,'Données clés'!P:P,"oui"),"")</f>
        <v/>
      </c>
      <c r="I102" s="88" t="str">
        <f>IF(D102&lt;&gt;"",COUNTIFS('Données clés'!B:B,'Tableau de bord'!D102,'Données clés'!P:P,"non"),"")</f>
        <v/>
      </c>
      <c r="K102" s="88" t="str">
        <f>IF(D102&lt;&gt;"",COUNTIFS('Données clés'!B:B,'Tableau de bord'!D102),"")</f>
        <v/>
      </c>
      <c r="M102" s="67"/>
    </row>
    <row r="103" spans="2:13" ht="28.5" x14ac:dyDescent="0.3">
      <c r="D103" s="68"/>
      <c r="E103" s="37" t="str">
        <f>IF(C103&lt;&gt;"",AVERAGEIFS('Données clés'!B:B,'Données clés'!A:A,'Tableau de bord'!$D103),"")</f>
        <v/>
      </c>
      <c r="F103" s="37" t="str">
        <f>IF(AND(D103&lt;&gt;"",NOT(ISERROR(_xlfn.MINIFS('Données clés'!E:E,'Données clés'!B:B,'Tableau de bord'!$D103)))),_xlfn.MINIFS('Données clés'!E:E,'Données clés'!B:B,'Tableau de bord'!$D103),"")</f>
        <v/>
      </c>
      <c r="G103" s="37"/>
      <c r="H103" s="88" t="str">
        <f>IF(D103&lt;&gt;"",COUNTIFS('Données clés'!B:B,'Tableau de bord'!D103,'Données clés'!P:P,"oui"),"")</f>
        <v/>
      </c>
      <c r="I103" s="88" t="str">
        <f>IF(D103&lt;&gt;"",COUNTIFS('Données clés'!B:B,'Tableau de bord'!D103,'Données clés'!P:P,"non"),"")</f>
        <v/>
      </c>
      <c r="K103" s="88" t="str">
        <f>IF(D103&lt;&gt;"",COUNTIFS('Données clés'!B:B,'Tableau de bord'!D103),"")</f>
        <v/>
      </c>
      <c r="M103" s="67"/>
    </row>
    <row r="104" spans="2:13" ht="28.5" x14ac:dyDescent="0.3">
      <c r="D104" s="68"/>
      <c r="E104" s="37" t="str">
        <f>IF(C104&lt;&gt;"",AVERAGEIFS('Données clés'!B:B,'Données clés'!A:A,'Tableau de bord'!$D104),"")</f>
        <v/>
      </c>
      <c r="F104" s="37" t="str">
        <f>IF(AND(D104&lt;&gt;"",NOT(ISERROR(_xlfn.MINIFS('Données clés'!E:E,'Données clés'!B:B,'Tableau de bord'!$D104)))),_xlfn.MINIFS('Données clés'!E:E,'Données clés'!B:B,'Tableau de bord'!$D104),"")</f>
        <v/>
      </c>
      <c r="G104" s="37"/>
      <c r="H104" s="88" t="str">
        <f>IF(D104&lt;&gt;"",COUNTIFS('Données clés'!B:B,'Tableau de bord'!D104,'Données clés'!P:P,"oui"),"")</f>
        <v/>
      </c>
      <c r="I104" s="88" t="str">
        <f>IF(D104&lt;&gt;"",COUNTIFS('Données clés'!B:B,'Tableau de bord'!D104,'Données clés'!P:P,"non"),"")</f>
        <v/>
      </c>
      <c r="K104" s="88" t="str">
        <f>IF(D104&lt;&gt;"",COUNTIFS('Données clés'!B:B,'Tableau de bord'!D104),"")</f>
        <v/>
      </c>
      <c r="M104" s="67"/>
    </row>
    <row r="105" spans="2:13" ht="28.5" x14ac:dyDescent="0.3">
      <c r="D105" s="68"/>
      <c r="E105" s="37" t="str">
        <f>IF(C105&lt;&gt;"",AVERAGEIFS('Données clés'!B:B,'Données clés'!A:A,'Tableau de bord'!$D105),"")</f>
        <v/>
      </c>
      <c r="F105" s="37" t="str">
        <f>IF(AND(D105&lt;&gt;"",NOT(ISERROR(_xlfn.MINIFS('Données clés'!E:E,'Données clés'!B:B,'Tableau de bord'!$D105)))),_xlfn.MINIFS('Données clés'!E:E,'Données clés'!B:B,'Tableau de bord'!$D105),"")</f>
        <v/>
      </c>
      <c r="G105" s="37"/>
      <c r="H105" s="88" t="str">
        <f>IF(D105&lt;&gt;"",COUNTIFS('Données clés'!B:B,'Tableau de bord'!D105,'Données clés'!P:P,"oui"),"")</f>
        <v/>
      </c>
      <c r="I105" s="88" t="str">
        <f>IF(D105&lt;&gt;"",COUNTIFS('Données clés'!B:B,'Tableau de bord'!D105,'Données clés'!P:P,"non"),"")</f>
        <v/>
      </c>
      <c r="K105" s="88" t="str">
        <f>IF(D105&lt;&gt;"",COUNTIFS('Données clés'!B:B,'Tableau de bord'!D105),"")</f>
        <v/>
      </c>
      <c r="M105" s="67"/>
    </row>
    <row r="106" spans="2:13" ht="28.5" x14ac:dyDescent="0.3">
      <c r="D106" s="68"/>
      <c r="E106" s="37" t="str">
        <f>IF(C106&lt;&gt;"",AVERAGEIFS('Données clés'!B:B,'Données clés'!A:A,'Tableau de bord'!$D106),"")</f>
        <v/>
      </c>
      <c r="F106" s="37" t="str">
        <f>IF(AND(D106&lt;&gt;"",NOT(ISERROR(_xlfn.MINIFS('Données clés'!E:E,'Données clés'!B:B,'Tableau de bord'!$D106)))),_xlfn.MINIFS('Données clés'!E:E,'Données clés'!B:B,'Tableau de bord'!$D106),"")</f>
        <v/>
      </c>
      <c r="G106" s="37"/>
      <c r="H106" s="88" t="str">
        <f>IF(D106&lt;&gt;"",COUNTIFS('Données clés'!B:B,'Tableau de bord'!D106,'Données clés'!P:P,"oui"),"")</f>
        <v/>
      </c>
      <c r="I106" s="88" t="str">
        <f>IF(D106&lt;&gt;"",COUNTIFS('Données clés'!B:B,'Tableau de bord'!D106,'Données clés'!P:P,"non"),"")</f>
        <v/>
      </c>
      <c r="K106" s="88" t="str">
        <f>IF(D106&lt;&gt;"",COUNTIFS('Données clés'!B:B,'Tableau de bord'!D106),"")</f>
        <v/>
      </c>
      <c r="M106" s="67"/>
    </row>
    <row r="107" spans="2:13" ht="28.5" x14ac:dyDescent="0.3">
      <c r="D107" s="68"/>
      <c r="E107" s="37" t="str">
        <f>IF(C107&lt;&gt;"",AVERAGEIFS('Données clés'!B:B,'Données clés'!A:A,'Tableau de bord'!$D107),"")</f>
        <v/>
      </c>
      <c r="F107" s="37" t="str">
        <f>IF(AND(D107&lt;&gt;"",NOT(ISERROR(_xlfn.MINIFS('Données clés'!E:E,'Données clés'!B:B,'Tableau de bord'!$D107)))),_xlfn.MINIFS('Données clés'!E:E,'Données clés'!B:B,'Tableau de bord'!$D107),"")</f>
        <v/>
      </c>
      <c r="G107" s="37"/>
      <c r="H107" s="88" t="str">
        <f>IF(D107&lt;&gt;"",COUNTIFS('Données clés'!B:B,'Tableau de bord'!D107,'Données clés'!P:P,"oui"),"")</f>
        <v/>
      </c>
      <c r="I107" s="88" t="str">
        <f>IF(D107&lt;&gt;"",COUNTIFS('Données clés'!B:B,'Tableau de bord'!D107,'Données clés'!P:P,"non"),"")</f>
        <v/>
      </c>
      <c r="K107" s="88" t="str">
        <f>IF(D107&lt;&gt;"",COUNTIFS('Données clés'!B:B,'Tableau de bord'!D107),"")</f>
        <v/>
      </c>
      <c r="M107" s="67"/>
    </row>
    <row r="108" spans="2:13" ht="28.5" x14ac:dyDescent="0.3">
      <c r="D108" s="68"/>
      <c r="E108" s="37" t="str">
        <f>IF(C108&lt;&gt;"",AVERAGEIFS('Données clés'!B:B,'Données clés'!A:A,'Tableau de bord'!$D108),"")</f>
        <v/>
      </c>
      <c r="F108" s="37" t="str">
        <f>IF(AND(D108&lt;&gt;"",NOT(ISERROR(_xlfn.MINIFS('Données clés'!E:E,'Données clés'!B:B,'Tableau de bord'!$D108)))),_xlfn.MINIFS('Données clés'!E:E,'Données clés'!B:B,'Tableau de bord'!$D108),"")</f>
        <v/>
      </c>
      <c r="G108" s="37"/>
      <c r="H108" s="88" t="str">
        <f>IF(D108&lt;&gt;"",COUNTIFS('Données clés'!B:B,'Tableau de bord'!D108,'Données clés'!P:P,"oui"),"")</f>
        <v/>
      </c>
      <c r="I108" s="88" t="str">
        <f>IF(D108&lt;&gt;"",COUNTIFS('Données clés'!B:B,'Tableau de bord'!D108,'Données clés'!P:P,"non"),"")</f>
        <v/>
      </c>
      <c r="K108" s="88" t="str">
        <f>IF(D108&lt;&gt;"",COUNTIFS('Données clés'!B:B,'Tableau de bord'!D108),"")</f>
        <v/>
      </c>
      <c r="M108" s="67"/>
    </row>
    <row r="109" spans="2:13" ht="28.5" x14ac:dyDescent="0.3">
      <c r="D109" s="68"/>
      <c r="E109" s="37" t="str">
        <f>IF(C109&lt;&gt;"",AVERAGEIFS('Données clés'!B:B,'Données clés'!A:A,'Tableau de bord'!$D109),"")</f>
        <v/>
      </c>
      <c r="F109" s="37" t="str">
        <f>IF(AND(D109&lt;&gt;"",NOT(ISERROR(_xlfn.MINIFS('Données clés'!E:E,'Données clés'!B:B,'Tableau de bord'!$D109)))),_xlfn.MINIFS('Données clés'!E:E,'Données clés'!B:B,'Tableau de bord'!$D109),"")</f>
        <v/>
      </c>
      <c r="G109" s="37"/>
      <c r="H109" s="88" t="str">
        <f>IF(D109&lt;&gt;"",COUNTIFS('Données clés'!B:B,'Tableau de bord'!D109,'Données clés'!P:P,"oui"),"")</f>
        <v/>
      </c>
      <c r="I109" s="88" t="str">
        <f>IF(D109&lt;&gt;"",COUNTIFS('Données clés'!B:B,'Tableau de bord'!D109,'Données clés'!P:P,"non"),"")</f>
        <v/>
      </c>
      <c r="K109" s="88" t="str">
        <f>IF(D109&lt;&gt;"",COUNTIFS('Données clés'!B:B,'Tableau de bord'!D109),"")</f>
        <v/>
      </c>
      <c r="M109" s="67"/>
    </row>
    <row r="110" spans="2:13" ht="28.5" x14ac:dyDescent="0.3">
      <c r="B110" s="62"/>
      <c r="C110" s="62"/>
      <c r="D110" s="68"/>
      <c r="E110" s="37" t="str">
        <f>IF(C110&lt;&gt;"",AVERAGEIFS('Données clés'!B:B,'Données clés'!A:A,'Tableau de bord'!$D110),"")</f>
        <v/>
      </c>
      <c r="F110" s="37" t="str">
        <f>IF(AND(D110&lt;&gt;"",NOT(ISERROR(_xlfn.MINIFS('Données clés'!E:E,'Données clés'!B:B,'Tableau de bord'!$D110)))),_xlfn.MINIFS('Données clés'!E:E,'Données clés'!B:B,'Tableau de bord'!$D110),"")</f>
        <v/>
      </c>
      <c r="G110" s="37"/>
      <c r="H110" s="88" t="str">
        <f>IF(D110&lt;&gt;"",COUNTIFS('Données clés'!B:B,'Tableau de bord'!D110,'Données clés'!P:P,"oui"),"")</f>
        <v/>
      </c>
      <c r="I110" s="88" t="str">
        <f>IF(D110&lt;&gt;"",COUNTIFS('Données clés'!B:B,'Tableau de bord'!D110,'Données clés'!P:P,"non"),"")</f>
        <v/>
      </c>
      <c r="K110" s="88" t="str">
        <f>IF(D110&lt;&gt;"",COUNTIFS('Données clés'!B:B,'Tableau de bord'!D110),"")</f>
        <v/>
      </c>
      <c r="M110" s="67"/>
    </row>
    <row r="111" spans="2:13" ht="28.5" x14ac:dyDescent="0.3">
      <c r="B111" s="62"/>
      <c r="C111" s="62"/>
      <c r="D111" s="68"/>
      <c r="E111" s="37" t="str">
        <f>IF(C111&lt;&gt;"",AVERAGEIFS('Données clés'!B:B,'Données clés'!A:A,'Tableau de bord'!$D111),"")</f>
        <v/>
      </c>
      <c r="F111" s="37" t="str">
        <f>IF(AND(D111&lt;&gt;"",NOT(ISERROR(_xlfn.MINIFS('Données clés'!E:E,'Données clés'!B:B,'Tableau de bord'!$D111)))),_xlfn.MINIFS('Données clés'!E:E,'Données clés'!B:B,'Tableau de bord'!$D111),"")</f>
        <v/>
      </c>
      <c r="G111" s="37"/>
      <c r="H111" s="88" t="str">
        <f>IF(D111&lt;&gt;"",COUNTIFS('Données clés'!B:B,'Tableau de bord'!D111,'Données clés'!P:P,"oui"),"")</f>
        <v/>
      </c>
      <c r="I111" s="88" t="str">
        <f>IF(D111&lt;&gt;"",COUNTIFS('Données clés'!B:B,'Tableau de bord'!D111,'Données clés'!P:P,"non"),"")</f>
        <v/>
      </c>
      <c r="K111" s="88" t="str">
        <f>IF(D111&lt;&gt;"",COUNTIFS('Données clés'!B:B,'Tableau de bord'!D111),"")</f>
        <v/>
      </c>
      <c r="M111" s="67"/>
    </row>
    <row r="112" spans="2:13" ht="28.5" x14ac:dyDescent="0.3">
      <c r="B112" s="62"/>
      <c r="C112" s="62"/>
      <c r="D112" s="68"/>
      <c r="E112" s="37" t="str">
        <f>IF(C112&lt;&gt;"",AVERAGEIFS('Données clés'!B:B,'Données clés'!A:A,'Tableau de bord'!$D112),"")</f>
        <v/>
      </c>
      <c r="F112" s="37" t="str">
        <f>IF(AND(D112&lt;&gt;"",NOT(ISERROR(_xlfn.MINIFS('Données clés'!E:E,'Données clés'!B:B,'Tableau de bord'!$D112)))),_xlfn.MINIFS('Données clés'!E:E,'Données clés'!B:B,'Tableau de bord'!$D112),"")</f>
        <v/>
      </c>
      <c r="G112" s="37"/>
      <c r="H112" s="88" t="str">
        <f>IF(D112&lt;&gt;"",COUNTIFS('Données clés'!B:B,'Tableau de bord'!D112,'Données clés'!P:P,"oui"),"")</f>
        <v/>
      </c>
      <c r="I112" s="88" t="str">
        <f>IF(D112&lt;&gt;"",COUNTIFS('Données clés'!B:B,'Tableau de bord'!D112,'Données clés'!P:P,"non"),"")</f>
        <v/>
      </c>
      <c r="K112" s="88" t="str">
        <f>IF(D112&lt;&gt;"",COUNTIFS('Données clés'!B:B,'Tableau de bord'!D112),"")</f>
        <v/>
      </c>
      <c r="M112" s="67"/>
    </row>
    <row r="113" spans="2:13" ht="28.5" x14ac:dyDescent="0.3">
      <c r="B113" s="62"/>
      <c r="C113" s="62"/>
      <c r="D113" s="68"/>
      <c r="E113" s="37" t="str">
        <f>IF(C113&lt;&gt;"",AVERAGEIFS('Données clés'!B:B,'Données clés'!A:A,'Tableau de bord'!$D113),"")</f>
        <v/>
      </c>
      <c r="F113" s="37" t="str">
        <f>IF(AND(D113&lt;&gt;"",NOT(ISERROR(_xlfn.MINIFS('Données clés'!E:E,'Données clés'!B:B,'Tableau de bord'!$D113)))),_xlfn.MINIFS('Données clés'!E:E,'Données clés'!B:B,'Tableau de bord'!$D113),"")</f>
        <v/>
      </c>
      <c r="G113" s="37"/>
      <c r="H113" s="88" t="str">
        <f>IF(D113&lt;&gt;"",COUNTIFS('Données clés'!B:B,'Tableau de bord'!D113,'Données clés'!P:P,"oui"),"")</f>
        <v/>
      </c>
      <c r="I113" s="88" t="str">
        <f>IF(D113&lt;&gt;"",COUNTIFS('Données clés'!B:B,'Tableau de bord'!D113,'Données clés'!P:P,"non"),"")</f>
        <v/>
      </c>
      <c r="K113" s="88" t="str">
        <f>IF(D113&lt;&gt;"",COUNTIFS('Données clés'!B:B,'Tableau de bord'!D113),"")</f>
        <v/>
      </c>
      <c r="M113" s="67"/>
    </row>
    <row r="114" spans="2:13" ht="28.5" x14ac:dyDescent="0.3">
      <c r="B114" s="62"/>
      <c r="C114" s="62"/>
      <c r="D114" s="68"/>
      <c r="E114" s="37" t="str">
        <f>IF(C114&lt;&gt;"",AVERAGEIFS('Données clés'!B:B,'Données clés'!A:A,'Tableau de bord'!$D114),"")</f>
        <v/>
      </c>
      <c r="F114" s="37" t="str">
        <f>IF(AND(D114&lt;&gt;"",NOT(ISERROR(_xlfn.MINIFS('Données clés'!E:E,'Données clés'!B:B,'Tableau de bord'!$D114)))),_xlfn.MINIFS('Données clés'!E:E,'Données clés'!B:B,'Tableau de bord'!$D114),"")</f>
        <v/>
      </c>
      <c r="G114" s="37"/>
      <c r="H114" s="88" t="str">
        <f>IF(D114&lt;&gt;"",COUNTIFS('Données clés'!B:B,'Tableau de bord'!D114,'Données clés'!P:P,"oui"),"")</f>
        <v/>
      </c>
      <c r="I114" s="88" t="str">
        <f>IF(D114&lt;&gt;"",COUNTIFS('Données clés'!B:B,'Tableau de bord'!D114,'Données clés'!P:P,"non"),"")</f>
        <v/>
      </c>
      <c r="K114" s="88" t="str">
        <f>IF(D114&lt;&gt;"",COUNTIFS('Données clés'!B:B,'Tableau de bord'!D114),"")</f>
        <v/>
      </c>
      <c r="M114" s="67"/>
    </row>
    <row r="115" spans="2:13" ht="28.5" x14ac:dyDescent="0.3">
      <c r="B115" s="62"/>
      <c r="C115" s="62"/>
      <c r="D115" s="68"/>
      <c r="E115" s="37" t="str">
        <f>IF(C115&lt;&gt;"",AVERAGEIFS('Données clés'!B:B,'Données clés'!A:A,'Tableau de bord'!$D115),"")</f>
        <v/>
      </c>
      <c r="F115" s="37" t="str">
        <f>IF(AND(D115&lt;&gt;"",NOT(ISERROR(_xlfn.MINIFS('Données clés'!E:E,'Données clés'!B:B,'Tableau de bord'!$D115)))),_xlfn.MINIFS('Données clés'!E:E,'Données clés'!B:B,'Tableau de bord'!$D115),"")</f>
        <v/>
      </c>
      <c r="G115" s="37"/>
      <c r="H115" s="88" t="str">
        <f>IF(D115&lt;&gt;"",COUNTIFS('Données clés'!B:B,'Tableau de bord'!D115,'Données clés'!P:P,"oui"),"")</f>
        <v/>
      </c>
      <c r="I115" s="88" t="str">
        <f>IF(D115&lt;&gt;"",COUNTIFS('Données clés'!B:B,'Tableau de bord'!D115,'Données clés'!P:P,"non"),"")</f>
        <v/>
      </c>
      <c r="K115" s="88" t="str">
        <f>IF(D115&lt;&gt;"",COUNTIFS('Données clés'!B:B,'Tableau de bord'!D115),"")</f>
        <v/>
      </c>
      <c r="M115" s="67"/>
    </row>
    <row r="116" spans="2:13" ht="28.5" x14ac:dyDescent="0.3">
      <c r="B116" s="62"/>
      <c r="C116" s="62"/>
      <c r="D116" s="68"/>
      <c r="E116" s="37" t="str">
        <f>IF(C116&lt;&gt;"",AVERAGEIFS('Données clés'!B:B,'Données clés'!A:A,'Tableau de bord'!$D116),"")</f>
        <v/>
      </c>
      <c r="F116" s="37" t="str">
        <f>IF(AND(D116&lt;&gt;"",NOT(ISERROR(_xlfn.MINIFS('Données clés'!E:E,'Données clés'!B:B,'Tableau de bord'!$D116)))),_xlfn.MINIFS('Données clés'!E:E,'Données clés'!B:B,'Tableau de bord'!$D116),"")</f>
        <v/>
      </c>
      <c r="G116" s="37"/>
      <c r="H116" s="88" t="str">
        <f>IF(D116&lt;&gt;"",COUNTIFS('Données clés'!B:B,'Tableau de bord'!D116,'Données clés'!P:P,"oui"),"")</f>
        <v/>
      </c>
      <c r="I116" s="88" t="str">
        <f>IF(D116&lt;&gt;"",COUNTIFS('Données clés'!B:B,'Tableau de bord'!D116,'Données clés'!P:P,"non"),"")</f>
        <v/>
      </c>
      <c r="K116" s="88" t="str">
        <f>IF(D116&lt;&gt;"",COUNTIFS('Données clés'!B:B,'Tableau de bord'!D116),"")</f>
        <v/>
      </c>
      <c r="M116" s="67"/>
    </row>
    <row r="117" spans="2:13" ht="28.5" x14ac:dyDescent="0.3">
      <c r="B117" s="62"/>
      <c r="C117" s="62"/>
      <c r="D117" s="68"/>
      <c r="E117" s="37" t="str">
        <f>IF(C117&lt;&gt;"",AVERAGEIFS('Données clés'!B:B,'Données clés'!A:A,'Tableau de bord'!$D117),"")</f>
        <v/>
      </c>
      <c r="F117" s="37" t="str">
        <f>IF(AND(D117&lt;&gt;"",NOT(ISERROR(_xlfn.MINIFS('Données clés'!E:E,'Données clés'!B:B,'Tableau de bord'!$D117)))),_xlfn.MINIFS('Données clés'!E:E,'Données clés'!B:B,'Tableau de bord'!$D117),"")</f>
        <v/>
      </c>
      <c r="G117" s="37"/>
      <c r="H117" s="88" t="str">
        <f>IF(D117&lt;&gt;"",COUNTIFS('Données clés'!B:B,'Tableau de bord'!D117,'Données clés'!P:P,"oui"),"")</f>
        <v/>
      </c>
      <c r="I117" s="88" t="str">
        <f>IF(D117&lt;&gt;"",COUNTIFS('Données clés'!B:B,'Tableau de bord'!D117,'Données clés'!P:P,"non"),"")</f>
        <v/>
      </c>
      <c r="K117" s="88" t="str">
        <f>IF(D117&lt;&gt;"",COUNTIFS('Données clés'!B:B,'Tableau de bord'!D117),"")</f>
        <v/>
      </c>
      <c r="M117" s="67"/>
    </row>
    <row r="118" spans="2:13" ht="28.5" x14ac:dyDescent="0.3">
      <c r="B118" s="62"/>
      <c r="C118" s="62"/>
      <c r="D118" s="68"/>
      <c r="E118" s="37" t="str">
        <f>IF(C118&lt;&gt;"",AVERAGEIFS('Données clés'!B:B,'Données clés'!A:A,'Tableau de bord'!$D118),"")</f>
        <v/>
      </c>
      <c r="F118" s="37" t="str">
        <f>IF(AND(D118&lt;&gt;"",NOT(ISERROR(_xlfn.MINIFS('Données clés'!E:E,'Données clés'!B:B,'Tableau de bord'!$D118)))),_xlfn.MINIFS('Données clés'!E:E,'Données clés'!B:B,'Tableau de bord'!$D118),"")</f>
        <v/>
      </c>
      <c r="G118" s="37"/>
      <c r="H118" s="88" t="str">
        <f>IF(D118&lt;&gt;"",COUNTIFS('Données clés'!B:B,'Tableau de bord'!D118,'Données clés'!P:P,"oui"),"")</f>
        <v/>
      </c>
      <c r="I118" s="88" t="str">
        <f>IF(D118&lt;&gt;"",COUNTIFS('Données clés'!B:B,'Tableau de bord'!D118,'Données clés'!P:P,"non"),"")</f>
        <v/>
      </c>
      <c r="K118" s="88" t="str">
        <f>IF(D118&lt;&gt;"",COUNTIFS('Données clés'!B:B,'Tableau de bord'!D118),"")</f>
        <v/>
      </c>
    </row>
    <row r="119" spans="2:13" ht="28.5" x14ac:dyDescent="0.3">
      <c r="B119" s="62"/>
      <c r="C119" s="62"/>
      <c r="D119" s="68"/>
      <c r="E119" s="37" t="str">
        <f>IF(C119&lt;&gt;"",AVERAGEIFS('Données clés'!B:B,'Données clés'!A:A,'Tableau de bord'!$D119),"")</f>
        <v/>
      </c>
      <c r="F119" s="37" t="str">
        <f>IF(AND(D119&lt;&gt;"",NOT(ISERROR(_xlfn.MINIFS('Données clés'!E:E,'Données clés'!B:B,'Tableau de bord'!$D119)))),_xlfn.MINIFS('Données clés'!E:E,'Données clés'!B:B,'Tableau de bord'!$D119),"")</f>
        <v/>
      </c>
      <c r="G119" s="37"/>
      <c r="H119" s="88" t="str">
        <f>IF(D119&lt;&gt;"",COUNTIFS('Données clés'!B:B,'Tableau de bord'!D119,'Données clés'!P:P,"oui"),"")</f>
        <v/>
      </c>
      <c r="I119" s="88" t="str">
        <f>IF(D119&lt;&gt;"",COUNTIFS('Données clés'!B:B,'Tableau de bord'!D119,'Données clés'!P:P,"non"),"")</f>
        <v/>
      </c>
      <c r="K119" s="88" t="str">
        <f>IF(D119&lt;&gt;"",COUNTIFS('Données clés'!B:B,'Tableau de bord'!D119),"")</f>
        <v/>
      </c>
    </row>
    <row r="120" spans="2:13" ht="28.5" x14ac:dyDescent="0.3">
      <c r="B120" s="62"/>
      <c r="C120" s="62"/>
      <c r="D120" s="68"/>
      <c r="E120" s="37" t="str">
        <f>IF(C120&lt;&gt;"",AVERAGEIFS('Données clés'!B:B,'Données clés'!A:A,'Tableau de bord'!$D120),"")</f>
        <v/>
      </c>
      <c r="F120" s="37" t="str">
        <f>IF(AND(D120&lt;&gt;"",NOT(ISERROR(_xlfn.MINIFS('Données clés'!E:E,'Données clés'!B:B,'Tableau de bord'!$D120)))),_xlfn.MINIFS('Données clés'!E:E,'Données clés'!B:B,'Tableau de bord'!$D120),"")</f>
        <v/>
      </c>
      <c r="G120" s="37"/>
      <c r="H120" s="88" t="str">
        <f>IF(D120&lt;&gt;"",COUNTIFS('Données clés'!B:B,'Tableau de bord'!D120,'Données clés'!P:P,"oui"),"")</f>
        <v/>
      </c>
      <c r="I120" s="88" t="str">
        <f>IF(D120&lt;&gt;"",COUNTIFS('Données clés'!B:B,'Tableau de bord'!D120,'Données clés'!P:P,"non"),"")</f>
        <v/>
      </c>
      <c r="K120" s="88" t="str">
        <f>IF(D120&lt;&gt;"",COUNTIFS('Données clés'!B:B,'Tableau de bord'!D120),"")</f>
        <v/>
      </c>
    </row>
    <row r="121" spans="2:13" ht="28.5" x14ac:dyDescent="0.3">
      <c r="B121" s="62"/>
      <c r="C121" s="62"/>
      <c r="D121" s="68"/>
      <c r="E121" s="37" t="str">
        <f>IF(C121&lt;&gt;"",AVERAGEIFS('Données clés'!B:B,'Données clés'!A:A,'Tableau de bord'!$D121),"")</f>
        <v/>
      </c>
      <c r="F121" s="37" t="str">
        <f>IF(AND(D121&lt;&gt;"",NOT(ISERROR(_xlfn.MINIFS('Données clés'!E:E,'Données clés'!B:B,'Tableau de bord'!$D121)))),_xlfn.MINIFS('Données clés'!E:E,'Données clés'!B:B,'Tableau de bord'!$D121),"")</f>
        <v/>
      </c>
      <c r="G121" s="37"/>
      <c r="H121" s="88" t="str">
        <f>IF(D121&lt;&gt;"",COUNTIFS('Données clés'!B:B,'Tableau de bord'!D121,'Données clés'!P:P,"oui"),"")</f>
        <v/>
      </c>
      <c r="I121" s="88" t="str">
        <f>IF(D121&lt;&gt;"",COUNTIFS('Données clés'!B:B,'Tableau de bord'!D121,'Données clés'!P:P,"non"),"")</f>
        <v/>
      </c>
      <c r="K121" s="88" t="str">
        <f>IF(D121&lt;&gt;"",COUNTIFS('Données clés'!B:B,'Tableau de bord'!D121),"")</f>
        <v/>
      </c>
    </row>
    <row r="122" spans="2:13" ht="28.5" x14ac:dyDescent="0.3">
      <c r="B122" s="62"/>
      <c r="C122" s="62"/>
      <c r="D122" s="68"/>
      <c r="E122" s="37" t="str">
        <f>IF(C122&lt;&gt;"",AVERAGEIFS('Données clés'!B:B,'Données clés'!A:A,'Tableau de bord'!$D122),"")</f>
        <v/>
      </c>
      <c r="F122" s="37" t="str">
        <f>IF(AND(D122&lt;&gt;"",NOT(ISERROR(_xlfn.MINIFS('Données clés'!E:E,'Données clés'!B:B,'Tableau de bord'!$D122)))),_xlfn.MINIFS('Données clés'!E:E,'Données clés'!B:B,'Tableau de bord'!$D122),"")</f>
        <v/>
      </c>
      <c r="G122" s="37"/>
      <c r="H122" s="88" t="str">
        <f>IF(D122&lt;&gt;"",COUNTIFS('Données clés'!B:B,'Tableau de bord'!D122,'Données clés'!P:P,"oui"),"")</f>
        <v/>
      </c>
      <c r="I122" s="88" t="str">
        <f>IF(D122&lt;&gt;"",COUNTIFS('Données clés'!B:B,'Tableau de bord'!D122,'Données clés'!P:P,"non"),"")</f>
        <v/>
      </c>
      <c r="K122" s="88" t="str">
        <f>IF(D122&lt;&gt;"",COUNTIFS('Données clés'!B:B,'Tableau de bord'!D122),"")</f>
        <v/>
      </c>
    </row>
    <row r="123" spans="2:13" ht="28.5" x14ac:dyDescent="0.3">
      <c r="B123" s="62"/>
      <c r="C123" s="62"/>
      <c r="D123" s="68"/>
      <c r="E123" s="37" t="str">
        <f>IF(C123&lt;&gt;"",AVERAGEIFS('Données clés'!B:B,'Données clés'!A:A,'Tableau de bord'!$D123),"")</f>
        <v/>
      </c>
      <c r="F123" s="37" t="str">
        <f>IF(AND(D123&lt;&gt;"",NOT(ISERROR(_xlfn.MINIFS('Données clés'!E:E,'Données clés'!B:B,'Tableau de bord'!$D123)))),_xlfn.MINIFS('Données clés'!E:E,'Données clés'!B:B,'Tableau de bord'!$D123),"")</f>
        <v/>
      </c>
      <c r="G123" s="37"/>
      <c r="H123" s="88" t="str">
        <f>IF(D123&lt;&gt;"",COUNTIFS('Données clés'!B:B,'Tableau de bord'!D123,'Données clés'!P:P,"oui"),"")</f>
        <v/>
      </c>
      <c r="I123" s="88" t="str">
        <f>IF(D123&lt;&gt;"",COUNTIFS('Données clés'!B:B,'Tableau de bord'!D123,'Données clés'!P:P,"non"),"")</f>
        <v/>
      </c>
      <c r="K123" s="88" t="str">
        <f>IF(D123&lt;&gt;"",COUNTIFS('Données clés'!B:B,'Tableau de bord'!D123),"")</f>
        <v/>
      </c>
    </row>
    <row r="124" spans="2:13" ht="28.5" x14ac:dyDescent="0.3">
      <c r="B124" s="62"/>
      <c r="C124" s="62"/>
      <c r="D124" s="68"/>
      <c r="E124" s="37" t="str">
        <f>IF(C124&lt;&gt;"",AVERAGEIFS('Données clés'!B:B,'Données clés'!A:A,'Tableau de bord'!$D124),"")</f>
        <v/>
      </c>
      <c r="F124" s="37" t="str">
        <f>IF(AND(D124&lt;&gt;"",NOT(ISERROR(_xlfn.MINIFS('Données clés'!E:E,'Données clés'!B:B,'Tableau de bord'!$D124)))),_xlfn.MINIFS('Données clés'!E:E,'Données clés'!B:B,'Tableau de bord'!$D124),"")</f>
        <v/>
      </c>
      <c r="G124" s="37"/>
      <c r="H124" s="88" t="str">
        <f>IF(D124&lt;&gt;"",COUNTIFS('Données clés'!B:B,'Tableau de bord'!D124,'Données clés'!P:P,"oui"),"")</f>
        <v/>
      </c>
      <c r="I124" s="88" t="str">
        <f>IF(D124&lt;&gt;"",COUNTIFS('Données clés'!B:B,'Tableau de bord'!D124,'Données clés'!P:P,"non"),"")</f>
        <v/>
      </c>
      <c r="K124" s="88" t="str">
        <f>IF(D124&lt;&gt;"",COUNTIFS('Données clés'!B:B,'Tableau de bord'!D124),"")</f>
        <v/>
      </c>
    </row>
    <row r="125" spans="2:13" ht="28.5" x14ac:dyDescent="0.3">
      <c r="B125" s="62"/>
      <c r="C125" s="62"/>
      <c r="D125" s="68"/>
      <c r="E125" s="37" t="str">
        <f>IF(C125&lt;&gt;"",AVERAGEIFS('Données clés'!B:B,'Données clés'!A:A,'Tableau de bord'!$D125),"")</f>
        <v/>
      </c>
      <c r="F125" s="37" t="str">
        <f>IF(AND(D125&lt;&gt;"",NOT(ISERROR(_xlfn.MINIFS('Données clés'!E:E,'Données clés'!B:B,'Tableau de bord'!$D125)))),_xlfn.MINIFS('Données clés'!E:E,'Données clés'!B:B,'Tableau de bord'!$D125),"")</f>
        <v/>
      </c>
      <c r="G125" s="37"/>
      <c r="H125" s="88" t="str">
        <f>IF(D125&lt;&gt;"",COUNTIFS('Données clés'!B:B,'Tableau de bord'!D125,'Données clés'!P:P,"oui"),"")</f>
        <v/>
      </c>
      <c r="I125" s="88" t="str">
        <f>IF(D125&lt;&gt;"",COUNTIFS('Données clés'!B:B,'Tableau de bord'!D125,'Données clés'!P:P,"non"),"")</f>
        <v/>
      </c>
      <c r="K125" s="88" t="str">
        <f>IF(D125&lt;&gt;"",COUNTIFS('Données clés'!B:B,'Tableau de bord'!D125),"")</f>
        <v/>
      </c>
    </row>
    <row r="126" spans="2:13" ht="28.5" x14ac:dyDescent="0.3">
      <c r="B126" s="62"/>
      <c r="C126" s="62"/>
      <c r="D126" s="68"/>
      <c r="E126" s="37" t="str">
        <f>IF(C126&lt;&gt;"",AVERAGEIFS('Données clés'!B:B,'Données clés'!A:A,'Tableau de bord'!$D126),"")</f>
        <v/>
      </c>
      <c r="F126" s="37" t="str">
        <f>IF(AND(D126&lt;&gt;"",NOT(ISERROR(_xlfn.MINIFS('Données clés'!E:E,'Données clés'!B:B,'Tableau de bord'!$D126)))),_xlfn.MINIFS('Données clés'!E:E,'Données clés'!B:B,'Tableau de bord'!$D126),"")</f>
        <v/>
      </c>
      <c r="G126" s="37"/>
      <c r="H126" s="88" t="str">
        <f>IF(D126&lt;&gt;"",COUNTIFS('Données clés'!B:B,'Tableau de bord'!D126,'Données clés'!P:P,"oui"),"")</f>
        <v/>
      </c>
      <c r="I126" s="88" t="str">
        <f>IF(D126&lt;&gt;"",COUNTIFS('Données clés'!B:B,'Tableau de bord'!D126,'Données clés'!P:P,"non"),"")</f>
        <v/>
      </c>
      <c r="K126" s="88" t="str">
        <f>IF(D126&lt;&gt;"",COUNTIFS('Données clés'!B:B,'Tableau de bord'!D126),"")</f>
        <v/>
      </c>
    </row>
    <row r="127" spans="2:13" ht="28.5" x14ac:dyDescent="0.3">
      <c r="B127" s="62"/>
      <c r="C127" s="62"/>
      <c r="D127" s="68"/>
      <c r="E127" s="37" t="str">
        <f>IF(C127&lt;&gt;"",AVERAGEIFS('Données clés'!B:B,'Données clés'!A:A,'Tableau de bord'!$D127),"")</f>
        <v/>
      </c>
      <c r="F127" s="37" t="str">
        <f>IF(AND(D127&lt;&gt;"",NOT(ISERROR(_xlfn.MINIFS('Données clés'!E:E,'Données clés'!B:B,'Tableau de bord'!$D127)))),_xlfn.MINIFS('Données clés'!E:E,'Données clés'!B:B,'Tableau de bord'!$D127),"")</f>
        <v/>
      </c>
      <c r="G127" s="37"/>
      <c r="H127" s="88" t="str">
        <f>IF(D127&lt;&gt;"",COUNTIFS('Données clés'!B:B,'Tableau de bord'!D127,'Données clés'!P:P,"oui"),"")</f>
        <v/>
      </c>
      <c r="I127" s="88" t="str">
        <f>IF(D127&lt;&gt;"",COUNTIFS('Données clés'!B:B,'Tableau de bord'!D127,'Données clés'!P:P,"non"),"")</f>
        <v/>
      </c>
      <c r="K127" s="88" t="str">
        <f>IF(D127&lt;&gt;"",COUNTIFS('Données clés'!B:B,'Tableau de bord'!D127),"")</f>
        <v/>
      </c>
    </row>
    <row r="128" spans="2:13" ht="28.5" x14ac:dyDescent="0.3">
      <c r="B128" s="62"/>
      <c r="C128" s="62"/>
      <c r="D128" s="68"/>
      <c r="E128" s="37" t="str">
        <f>IF(C128&lt;&gt;"",AVERAGEIFS('Données clés'!B:B,'Données clés'!A:A,'Tableau de bord'!$D128),"")</f>
        <v/>
      </c>
      <c r="F128" s="37" t="str">
        <f>IF(AND(D128&lt;&gt;"",NOT(ISERROR(_xlfn.MINIFS('Données clés'!E:E,'Données clés'!B:B,'Tableau de bord'!$D128)))),_xlfn.MINIFS('Données clés'!E:E,'Données clés'!B:B,'Tableau de bord'!$D128),"")</f>
        <v/>
      </c>
      <c r="G128" s="37"/>
      <c r="H128" s="88" t="str">
        <f>IF(D128&lt;&gt;"",COUNTIFS('Données clés'!B:B,'Tableau de bord'!D128,'Données clés'!P:P,"oui"),"")</f>
        <v/>
      </c>
      <c r="I128" s="88" t="str">
        <f>IF(D128&lt;&gt;"",COUNTIFS('Données clés'!B:B,'Tableau de bord'!D128,'Données clés'!P:P,"non"),"")</f>
        <v/>
      </c>
      <c r="K128" s="88" t="str">
        <f>IF(D128&lt;&gt;"",COUNTIFS('Données clés'!B:B,'Tableau de bord'!D128),"")</f>
        <v/>
      </c>
    </row>
    <row r="129" spans="2:11" ht="28.5" x14ac:dyDescent="0.3">
      <c r="B129" s="62"/>
      <c r="C129" s="62"/>
      <c r="D129" s="68"/>
      <c r="E129" s="37" t="str">
        <f>IF(C129&lt;&gt;"",AVERAGEIFS('Données clés'!B:B,'Données clés'!A:A,'Tableau de bord'!$D129),"")</f>
        <v/>
      </c>
      <c r="F129" s="37" t="str">
        <f>IF(AND(D129&lt;&gt;"",NOT(ISERROR(_xlfn.MINIFS('Données clés'!E:E,'Données clés'!B:B,'Tableau de bord'!$D129)))),_xlfn.MINIFS('Données clés'!E:E,'Données clés'!B:B,'Tableau de bord'!$D129),"")</f>
        <v/>
      </c>
      <c r="G129" s="37"/>
      <c r="H129" s="88" t="str">
        <f>IF(D129&lt;&gt;"",COUNTIFS('Données clés'!B:B,'Tableau de bord'!D129,'Données clés'!P:P,"oui"),"")</f>
        <v/>
      </c>
      <c r="I129" s="88" t="str">
        <f>IF(D129&lt;&gt;"",COUNTIFS('Données clés'!B:B,'Tableau de bord'!D129,'Données clés'!P:P,"non"),"")</f>
        <v/>
      </c>
      <c r="K129" s="88" t="str">
        <f>IF(D129&lt;&gt;"",COUNTIFS('Données clés'!B:B,'Tableau de bord'!D129),"")</f>
        <v/>
      </c>
    </row>
    <row r="130" spans="2:11" ht="28.5" x14ac:dyDescent="0.3">
      <c r="B130" s="62"/>
      <c r="C130" s="62"/>
      <c r="D130" s="68"/>
      <c r="E130" s="37" t="str">
        <f>IF(C130&lt;&gt;"",AVERAGEIFS('Données clés'!B:B,'Données clés'!A:A,'Tableau de bord'!$D130),"")</f>
        <v/>
      </c>
      <c r="F130" s="37" t="str">
        <f>IF(AND(D130&lt;&gt;"",NOT(ISERROR(_xlfn.MINIFS('Données clés'!E:E,'Données clés'!B:B,'Tableau de bord'!$D130)))),_xlfn.MINIFS('Données clés'!E:E,'Données clés'!B:B,'Tableau de bord'!$D130),"")</f>
        <v/>
      </c>
      <c r="G130" s="37"/>
      <c r="H130" s="88" t="str">
        <f>IF(D130&lt;&gt;"",COUNTIFS('Données clés'!B:B,'Tableau de bord'!D130,'Données clés'!P:P,"oui"),"")</f>
        <v/>
      </c>
      <c r="I130" s="88" t="str">
        <f>IF(D130&lt;&gt;"",COUNTIFS('Données clés'!B:B,'Tableau de bord'!D130,'Données clés'!P:P,"non"),"")</f>
        <v/>
      </c>
      <c r="K130" s="88" t="str">
        <f>IF(D130&lt;&gt;"",COUNTIFS('Données clés'!B:B,'Tableau de bord'!D130),"")</f>
        <v/>
      </c>
    </row>
    <row r="131" spans="2:11" ht="28.5" x14ac:dyDescent="0.3">
      <c r="B131" s="62"/>
      <c r="C131" s="62"/>
      <c r="D131" s="68"/>
      <c r="E131" s="37" t="str">
        <f>IF(C131&lt;&gt;"",AVERAGEIFS('Données clés'!B:B,'Données clés'!A:A,'Tableau de bord'!$D131),"")</f>
        <v/>
      </c>
      <c r="F131" s="37" t="str">
        <f>IF(AND(D131&lt;&gt;"",NOT(ISERROR(_xlfn.MINIFS('Données clés'!E:E,'Données clés'!B:B,'Tableau de bord'!$D131)))),_xlfn.MINIFS('Données clés'!E:E,'Données clés'!B:B,'Tableau de bord'!$D131),"")</f>
        <v/>
      </c>
      <c r="G131" s="37"/>
      <c r="H131" s="88" t="str">
        <f>IF(D131&lt;&gt;"",COUNTIFS('Données clés'!B:B,'Tableau de bord'!D131,'Données clés'!P:P,"oui"),"")</f>
        <v/>
      </c>
      <c r="I131" s="88" t="str">
        <f>IF(D131&lt;&gt;"",COUNTIFS('Données clés'!B:B,'Tableau de bord'!D131,'Données clés'!P:P,"non"),"")</f>
        <v/>
      </c>
      <c r="K131" s="88" t="str">
        <f>IF(D131&lt;&gt;"",COUNTIFS('Données clés'!B:B,'Tableau de bord'!D131),"")</f>
        <v/>
      </c>
    </row>
    <row r="132" spans="2:11" ht="28.5" x14ac:dyDescent="0.3">
      <c r="B132" s="62"/>
      <c r="C132" s="62"/>
      <c r="D132" s="68"/>
      <c r="E132" s="37" t="str">
        <f>IF(C132&lt;&gt;"",AVERAGEIFS('Données clés'!B:B,'Données clés'!A:A,'Tableau de bord'!$D132),"")</f>
        <v/>
      </c>
      <c r="F132" s="37" t="str">
        <f>IF(AND(D132&lt;&gt;"",NOT(ISERROR(_xlfn.MINIFS('Données clés'!E:E,'Données clés'!B:B,'Tableau de bord'!$D132)))),_xlfn.MINIFS('Données clés'!E:E,'Données clés'!B:B,'Tableau de bord'!$D132),"")</f>
        <v/>
      </c>
      <c r="G132" s="37"/>
      <c r="H132" s="88" t="str">
        <f>IF(D132&lt;&gt;"",COUNTIFS('Données clés'!B:B,'Tableau de bord'!D132,'Données clés'!P:P,"oui"),"")</f>
        <v/>
      </c>
      <c r="I132" s="88" t="str">
        <f>IF(D132&lt;&gt;"",COUNTIFS('Données clés'!B:B,'Tableau de bord'!D132,'Données clés'!P:P,"non"),"")</f>
        <v/>
      </c>
      <c r="K132" s="88" t="str">
        <f>IF(D132&lt;&gt;"",COUNTIFS('Données clés'!B:B,'Tableau de bord'!D132),"")</f>
        <v/>
      </c>
    </row>
    <row r="133" spans="2:11" ht="28.5" x14ac:dyDescent="0.3">
      <c r="B133" s="62"/>
      <c r="C133" s="62"/>
      <c r="D133" s="68"/>
      <c r="E133" s="37" t="str">
        <f>IF(C133&lt;&gt;"",AVERAGEIFS('Données clés'!B:B,'Données clés'!A:A,'Tableau de bord'!$D133),"")</f>
        <v/>
      </c>
      <c r="F133" s="37" t="str">
        <f>IF(AND(D133&lt;&gt;"",NOT(ISERROR(_xlfn.MINIFS('Données clés'!E:E,'Données clés'!B:B,'Tableau de bord'!$D133)))),_xlfn.MINIFS('Données clés'!E:E,'Données clés'!B:B,'Tableau de bord'!$D133),"")</f>
        <v/>
      </c>
      <c r="G133" s="37"/>
      <c r="H133" s="88" t="str">
        <f>IF(D133&lt;&gt;"",COUNTIFS('Données clés'!B:B,'Tableau de bord'!D133,'Données clés'!P:P,"oui"),"")</f>
        <v/>
      </c>
      <c r="I133" s="88" t="str">
        <f>IF(D133&lt;&gt;"",COUNTIFS('Données clés'!B:B,'Tableau de bord'!D133,'Données clés'!P:P,"non"),"")</f>
        <v/>
      </c>
      <c r="K133" s="88" t="str">
        <f>IF(D133&lt;&gt;"",COUNTIFS('Données clés'!B:B,'Tableau de bord'!D133),"")</f>
        <v/>
      </c>
    </row>
    <row r="134" spans="2:11" ht="28.5" x14ac:dyDescent="0.3">
      <c r="B134" s="62"/>
      <c r="C134" s="62"/>
      <c r="D134" s="68"/>
      <c r="E134" s="37" t="str">
        <f>IF(C134&lt;&gt;"",AVERAGEIFS('Données clés'!B:B,'Données clés'!A:A,'Tableau de bord'!$D134),"")</f>
        <v/>
      </c>
      <c r="F134" s="39"/>
      <c r="G134" s="39"/>
      <c r="H134" s="39"/>
      <c r="I134" s="39"/>
      <c r="K134" s="38" t="str">
        <f>IF(D134&lt;&gt;"",COUNTIFS('Données clés'!B:B,'Tableau de bord'!D134),"")</f>
        <v/>
      </c>
    </row>
    <row r="135" spans="2:11" ht="28.5" x14ac:dyDescent="0.3">
      <c r="B135" s="62"/>
      <c r="C135" s="62"/>
      <c r="E135" s="39"/>
      <c r="F135" s="39"/>
      <c r="G135" s="39"/>
      <c r="H135" s="39"/>
      <c r="I135" s="39"/>
      <c r="K135" s="38" t="str">
        <f>IF(D135&lt;&gt;"",COUNTIFS('Données clés'!B:B,'Tableau de bord'!D135),"")</f>
        <v/>
      </c>
    </row>
    <row r="136" spans="2:11" ht="28.5" x14ac:dyDescent="0.3">
      <c r="B136" s="62"/>
      <c r="C136" s="62"/>
      <c r="E136" s="39"/>
      <c r="F136" s="39"/>
      <c r="G136" s="39"/>
      <c r="H136" s="39"/>
      <c r="I136" s="39"/>
      <c r="K136" s="38" t="str">
        <f>IF(D136&lt;&gt;"",COUNTIFS('Données clés'!B:B,'Tableau de bord'!D136),"")</f>
        <v/>
      </c>
    </row>
    <row r="137" spans="2:11" ht="28.5" x14ac:dyDescent="0.3">
      <c r="B137" s="62"/>
      <c r="C137" s="62"/>
      <c r="E137" s="39"/>
      <c r="F137" s="39"/>
      <c r="G137" s="39"/>
      <c r="H137" s="39"/>
      <c r="I137" s="39"/>
      <c r="K137" s="38" t="str">
        <f>IF(D137&lt;&gt;"",COUNTIFS('Données clés'!B:B,'Tableau de bord'!D137),"")</f>
        <v/>
      </c>
    </row>
    <row r="138" spans="2:11" ht="28.5" x14ac:dyDescent="0.3">
      <c r="B138" s="62"/>
      <c r="C138" s="62"/>
      <c r="E138" s="39"/>
      <c r="F138" s="39"/>
      <c r="G138" s="39"/>
      <c r="H138" s="39"/>
      <c r="I138" s="39"/>
      <c r="K138" s="38" t="str">
        <f>IF(D138&lt;&gt;"",COUNTIFS('Données clés'!B:B,'Tableau de bord'!D138),"")</f>
        <v/>
      </c>
    </row>
    <row r="139" spans="2:11" ht="28.5" x14ac:dyDescent="0.3">
      <c r="B139" s="62"/>
      <c r="C139" s="62"/>
      <c r="E139" s="39"/>
      <c r="F139" s="39"/>
      <c r="G139" s="39"/>
      <c r="H139" s="39"/>
      <c r="I139" s="39"/>
      <c r="K139" s="38" t="str">
        <f>IF(D139&lt;&gt;"",COUNTIFS('Données clés'!B:B,'Tableau de bord'!D139),"")</f>
        <v/>
      </c>
    </row>
    <row r="140" spans="2:11" ht="28.5" x14ac:dyDescent="0.3">
      <c r="B140" s="62"/>
      <c r="C140" s="62"/>
      <c r="E140" s="39"/>
      <c r="F140" s="39"/>
      <c r="G140" s="39"/>
      <c r="H140" s="39"/>
      <c r="I140" s="39"/>
      <c r="K140" s="38" t="str">
        <f>IF(D140&lt;&gt;"",COUNTIFS('Données clés'!B:B,'Tableau de bord'!D140),"")</f>
        <v/>
      </c>
    </row>
    <row r="141" spans="2:11" ht="28.5" x14ac:dyDescent="0.3">
      <c r="B141" s="62"/>
      <c r="C141" s="62"/>
      <c r="E141" s="39"/>
      <c r="F141" s="39"/>
      <c r="G141" s="39"/>
      <c r="H141" s="39"/>
      <c r="I141" s="39"/>
      <c r="K141" s="38" t="str">
        <f>IF(D141&lt;&gt;"",COUNTIFS('Données clés'!B:B,'Tableau de bord'!D141),"")</f>
        <v/>
      </c>
    </row>
    <row r="142" spans="2:11" ht="28.5" x14ac:dyDescent="0.3">
      <c r="B142" s="62"/>
      <c r="C142" s="62"/>
      <c r="E142" s="39"/>
      <c r="F142" s="39"/>
      <c r="G142" s="39"/>
      <c r="H142" s="39"/>
      <c r="I142" s="39"/>
      <c r="K142" s="38" t="str">
        <f>IF(D142&lt;&gt;"",COUNTIFS('Données clés'!B:B,'Tableau de bord'!D142),"")</f>
        <v/>
      </c>
    </row>
    <row r="143" spans="2:11" ht="28.5" x14ac:dyDescent="0.3">
      <c r="B143" s="62"/>
      <c r="C143" s="62"/>
      <c r="E143" s="39"/>
      <c r="F143" s="39"/>
      <c r="G143" s="39"/>
      <c r="H143" s="39"/>
      <c r="I143" s="39"/>
      <c r="K143" s="38" t="str">
        <f>IF(D143&lt;&gt;"",COUNTIFS('Données clés'!B:B,'Tableau de bord'!D143),"")</f>
        <v/>
      </c>
    </row>
    <row r="144" spans="2:11" ht="28.5" x14ac:dyDescent="0.3">
      <c r="B144" s="62"/>
      <c r="C144" s="62"/>
      <c r="E144" s="39"/>
      <c r="F144" s="39"/>
      <c r="G144" s="39"/>
      <c r="H144" s="39"/>
      <c r="I144" s="39"/>
      <c r="K144" s="38" t="str">
        <f>IF(D144&lt;&gt;"",COUNTIFS('Données clés'!B:B,'Tableau de bord'!D144),"")</f>
        <v/>
      </c>
    </row>
    <row r="145" spans="2:11" ht="28.5" x14ac:dyDescent="0.3">
      <c r="B145" s="62"/>
      <c r="C145" s="62"/>
      <c r="E145" s="39"/>
      <c r="F145" s="39"/>
      <c r="G145" s="39"/>
      <c r="H145" s="39"/>
      <c r="I145" s="39"/>
      <c r="K145" s="38" t="str">
        <f>IF(D145&lt;&gt;"",COUNTIFS('Données clés'!B:B,'Tableau de bord'!D145),"")</f>
        <v/>
      </c>
    </row>
    <row r="146" spans="2:11" ht="28.5" x14ac:dyDescent="0.3">
      <c r="B146" s="62"/>
      <c r="C146" s="62"/>
      <c r="E146" s="39"/>
      <c r="F146" s="39"/>
      <c r="G146" s="39"/>
      <c r="H146" s="39"/>
      <c r="I146" s="39"/>
      <c r="K146" s="38" t="str">
        <f>IF(D146&lt;&gt;"",COUNTIFS('Données clés'!B:B,'Tableau de bord'!D146),"")</f>
        <v/>
      </c>
    </row>
    <row r="147" spans="2:11" ht="28.5" x14ac:dyDescent="0.3">
      <c r="B147" s="62"/>
      <c r="C147" s="62"/>
      <c r="E147" s="39"/>
      <c r="F147" s="39"/>
      <c r="G147" s="39"/>
      <c r="H147" s="39"/>
      <c r="I147" s="39"/>
      <c r="K147" s="38" t="str">
        <f>IF(D147&lt;&gt;"",COUNTIFS('Données clés'!B:B,'Tableau de bord'!D147),"")</f>
        <v/>
      </c>
    </row>
    <row r="148" spans="2:11" ht="28.5" x14ac:dyDescent="0.3">
      <c r="B148" s="62"/>
      <c r="C148" s="62"/>
      <c r="E148" s="39"/>
      <c r="F148" s="39"/>
      <c r="G148" s="39"/>
      <c r="H148" s="39"/>
      <c r="I148" s="39"/>
      <c r="K148" s="38" t="str">
        <f>IF(D148&lt;&gt;"",COUNTIFS('Données clés'!B:B,'Tableau de bord'!D148),"")</f>
        <v/>
      </c>
    </row>
    <row r="149" spans="2:11" ht="28.5" x14ac:dyDescent="0.3">
      <c r="B149" s="62"/>
      <c r="C149" s="62"/>
      <c r="E149" s="39"/>
      <c r="F149" s="39"/>
      <c r="G149" s="39"/>
      <c r="H149" s="39"/>
      <c r="I149" s="39"/>
      <c r="K149" s="38" t="str">
        <f>IF(D149&lt;&gt;"",COUNTIFS('Données clés'!B:B,'Tableau de bord'!D149),"")</f>
        <v/>
      </c>
    </row>
    <row r="150" spans="2:11" ht="28.5" x14ac:dyDescent="0.3">
      <c r="B150" s="62"/>
      <c r="C150" s="62"/>
      <c r="E150" s="39"/>
      <c r="F150" s="39"/>
      <c r="G150" s="39"/>
      <c r="H150" s="39"/>
      <c r="I150" s="39"/>
      <c r="K150" s="38" t="str">
        <f>IF(D150&lt;&gt;"",COUNTIFS('Données clés'!B:B,'Tableau de bord'!D150),"")</f>
        <v/>
      </c>
    </row>
    <row r="151" spans="2:11" ht="28.5" x14ac:dyDescent="0.3">
      <c r="B151" s="62"/>
      <c r="C151" s="62"/>
      <c r="E151" s="39"/>
      <c r="F151" s="39"/>
      <c r="G151" s="39"/>
      <c r="H151" s="39"/>
      <c r="I151" s="39"/>
      <c r="K151" s="38" t="str">
        <f>IF(D151&lt;&gt;"",COUNTIFS('Données clés'!B:B,'Tableau de bord'!D151),"")</f>
        <v/>
      </c>
    </row>
    <row r="152" spans="2:11" ht="28.5" x14ac:dyDescent="0.3">
      <c r="B152" s="62"/>
      <c r="C152" s="62"/>
      <c r="E152" s="39"/>
      <c r="F152" s="39"/>
      <c r="G152" s="39"/>
      <c r="H152" s="39"/>
      <c r="I152" s="39"/>
      <c r="K152" s="38" t="str">
        <f>IF(D152&lt;&gt;"",COUNTIFS('Données clés'!B:B,'Tableau de bord'!D152),"")</f>
        <v/>
      </c>
    </row>
    <row r="153" spans="2:11" ht="28.5" x14ac:dyDescent="0.3">
      <c r="B153" s="62"/>
      <c r="C153" s="62"/>
      <c r="E153" s="39"/>
      <c r="F153" s="39"/>
      <c r="G153" s="39"/>
      <c r="H153" s="39"/>
      <c r="I153" s="39"/>
      <c r="K153" s="38" t="str">
        <f>IF(D153&lt;&gt;"",COUNTIFS('Données clés'!B:B,'Tableau de bord'!D153),"")</f>
        <v/>
      </c>
    </row>
    <row r="154" spans="2:11" ht="28.5" x14ac:dyDescent="0.3">
      <c r="B154" s="62"/>
      <c r="C154" s="62"/>
      <c r="E154" s="39"/>
      <c r="F154" s="39"/>
      <c r="G154" s="39"/>
      <c r="H154" s="39"/>
      <c r="I154" s="39"/>
      <c r="K154" s="38" t="str">
        <f>IF(D154&lt;&gt;"",COUNTIFS('Données clés'!B:B,'Tableau de bord'!D154),"")</f>
        <v/>
      </c>
    </row>
    <row r="155" spans="2:11" ht="28.5" x14ac:dyDescent="0.3">
      <c r="B155" s="62"/>
      <c r="C155" s="62"/>
      <c r="E155" s="39"/>
      <c r="F155" s="39"/>
      <c r="G155" s="39"/>
      <c r="H155" s="39"/>
      <c r="I155" s="39"/>
      <c r="K155" s="38" t="str">
        <f>IF(D155&lt;&gt;"",COUNTIFS('Données clés'!B:B,'Tableau de bord'!D155),"")</f>
        <v/>
      </c>
    </row>
    <row r="156" spans="2:11" ht="28.5" x14ac:dyDescent="0.3">
      <c r="B156" s="62"/>
      <c r="C156" s="62"/>
      <c r="E156" s="39"/>
      <c r="F156" s="39"/>
      <c r="G156" s="39"/>
      <c r="H156" s="39"/>
      <c r="I156" s="39"/>
      <c r="K156" s="38" t="str">
        <f>IF(D156&lt;&gt;"",COUNTIFS('Données clés'!B:B,'Tableau de bord'!D156),"")</f>
        <v/>
      </c>
    </row>
    <row r="157" spans="2:11" ht="28.5" x14ac:dyDescent="0.3">
      <c r="B157" s="62"/>
      <c r="C157" s="62"/>
      <c r="E157" s="39"/>
      <c r="F157" s="39"/>
      <c r="G157" s="39"/>
      <c r="H157" s="39"/>
      <c r="I157" s="39"/>
      <c r="K157" s="38" t="str">
        <f>IF(D157&lt;&gt;"",COUNTIFS('Données clés'!B:B,'Tableau de bord'!D157),"")</f>
        <v/>
      </c>
    </row>
    <row r="158" spans="2:11" ht="28.5" x14ac:dyDescent="0.3">
      <c r="B158" s="62"/>
      <c r="C158" s="62"/>
      <c r="E158" s="39"/>
      <c r="F158" s="39"/>
      <c r="G158" s="39"/>
      <c r="H158" s="39"/>
      <c r="I158" s="39"/>
      <c r="K158" s="38" t="str">
        <f>IF(D158&lt;&gt;"",COUNTIFS('Données clés'!B:B,'Tableau de bord'!D158),"")</f>
        <v/>
      </c>
    </row>
    <row r="159" spans="2:11" ht="28.5" x14ac:dyDescent="0.3">
      <c r="B159" s="62"/>
      <c r="C159" s="62"/>
      <c r="E159" s="39"/>
      <c r="F159" s="39"/>
      <c r="G159" s="39"/>
      <c r="H159" s="39"/>
      <c r="I159" s="39"/>
      <c r="K159" s="38" t="str">
        <f>IF(D159&lt;&gt;"",COUNTIFS('Données clés'!B:B,'Tableau de bord'!D159),"")</f>
        <v/>
      </c>
    </row>
    <row r="160" spans="2:11" ht="28.5" x14ac:dyDescent="0.3">
      <c r="B160" s="62"/>
      <c r="C160" s="62"/>
      <c r="E160" s="39"/>
      <c r="F160" s="39"/>
      <c r="G160" s="39"/>
      <c r="H160" s="39"/>
      <c r="I160" s="39"/>
      <c r="K160" s="38" t="str">
        <f>IF(D160&lt;&gt;"",COUNTIFS('Données clés'!B:B,'Tableau de bord'!D160),"")</f>
        <v/>
      </c>
    </row>
    <row r="161" spans="2:11" ht="28.5" x14ac:dyDescent="0.3">
      <c r="B161" s="62"/>
      <c r="C161" s="62"/>
      <c r="E161" s="39"/>
      <c r="F161" s="39"/>
      <c r="G161" s="39"/>
      <c r="H161" s="39"/>
      <c r="I161" s="39"/>
      <c r="K161" s="38" t="str">
        <f>IF(D161&lt;&gt;"",COUNTIFS('Données clés'!B:B,'Tableau de bord'!D161),"")</f>
        <v/>
      </c>
    </row>
    <row r="162" spans="2:11" ht="28.5" x14ac:dyDescent="0.3">
      <c r="B162" s="62"/>
      <c r="C162" s="62"/>
      <c r="E162" s="39"/>
      <c r="F162" s="39"/>
      <c r="G162" s="39"/>
      <c r="H162" s="39"/>
      <c r="I162" s="39"/>
      <c r="K162" s="38" t="str">
        <f>IF(D162&lt;&gt;"",COUNTIFS('Données clés'!B:B,'Tableau de bord'!D162),"")</f>
        <v/>
      </c>
    </row>
    <row r="163" spans="2:11" ht="28.5" x14ac:dyDescent="0.3">
      <c r="B163" s="62"/>
      <c r="C163" s="62"/>
      <c r="E163" s="39"/>
      <c r="F163" s="39"/>
      <c r="G163" s="39"/>
      <c r="H163" s="39"/>
      <c r="I163" s="39"/>
      <c r="K163" s="38" t="str">
        <f>IF(D163&lt;&gt;"",COUNTIFS('Données clés'!B:B,'Tableau de bord'!D163),"")</f>
        <v/>
      </c>
    </row>
    <row r="164" spans="2:11" ht="28.5" x14ac:dyDescent="0.3">
      <c r="B164" s="62"/>
      <c r="C164" s="62"/>
      <c r="E164" s="39"/>
      <c r="F164" s="39"/>
      <c r="G164" s="39"/>
      <c r="H164" s="39"/>
      <c r="I164" s="39"/>
      <c r="K164" s="38" t="str">
        <f>IF(D164&lt;&gt;"",COUNTIFS('Données clés'!B:B,'Tableau de bord'!D164),"")</f>
        <v/>
      </c>
    </row>
    <row r="165" spans="2:11" ht="28.5" x14ac:dyDescent="0.3">
      <c r="B165" s="62"/>
      <c r="C165" s="62"/>
      <c r="E165" s="39"/>
      <c r="F165" s="39"/>
      <c r="G165" s="39"/>
      <c r="H165" s="39"/>
      <c r="I165" s="39"/>
      <c r="K165" s="38" t="str">
        <f>IF(D165&lt;&gt;"",COUNTIFS('Données clés'!B:B,'Tableau de bord'!D165),"")</f>
        <v/>
      </c>
    </row>
    <row r="166" spans="2:11" ht="28.5" x14ac:dyDescent="0.3">
      <c r="B166" s="62"/>
      <c r="C166" s="62"/>
      <c r="E166" s="39"/>
      <c r="F166" s="39"/>
      <c r="G166" s="39"/>
      <c r="H166" s="39"/>
      <c r="I166" s="39"/>
      <c r="K166" s="38" t="str">
        <f>IF(D166&lt;&gt;"",COUNTIFS('Données clés'!B:B,'Tableau de bord'!D166),"")</f>
        <v/>
      </c>
    </row>
    <row r="167" spans="2:11" ht="28.5" x14ac:dyDescent="0.3">
      <c r="B167" s="62"/>
      <c r="C167" s="62"/>
      <c r="E167" s="39"/>
      <c r="F167" s="39"/>
      <c r="G167" s="39"/>
      <c r="H167" s="39"/>
      <c r="I167" s="39"/>
      <c r="K167" s="38" t="str">
        <f>IF(D167&lt;&gt;"",COUNTIFS('Données clés'!B:B,'Tableau de bord'!D167),"")</f>
        <v/>
      </c>
    </row>
    <row r="168" spans="2:11" ht="28.5" x14ac:dyDescent="0.3">
      <c r="B168" s="62"/>
      <c r="C168" s="62"/>
      <c r="E168" s="39"/>
      <c r="F168" s="39"/>
      <c r="G168" s="39"/>
      <c r="H168" s="39"/>
      <c r="I168" s="39"/>
      <c r="K168" s="38" t="str">
        <f>IF(D168&lt;&gt;"",COUNTIFS('Données clés'!B:B,'Tableau de bord'!D168),"")</f>
        <v/>
      </c>
    </row>
    <row r="169" spans="2:11" ht="28.5" x14ac:dyDescent="0.3">
      <c r="B169" s="62"/>
      <c r="C169" s="62"/>
      <c r="E169" s="39"/>
      <c r="F169" s="39"/>
      <c r="G169" s="39"/>
      <c r="H169" s="39"/>
      <c r="I169" s="39"/>
      <c r="K169" s="38" t="str">
        <f>IF(D169&lt;&gt;"",COUNTIFS('Données clés'!B:B,'Tableau de bord'!D169),"")</f>
        <v/>
      </c>
    </row>
    <row r="170" spans="2:11" ht="28.5" x14ac:dyDescent="0.3">
      <c r="B170" s="62"/>
      <c r="C170" s="62"/>
      <c r="E170" s="39"/>
      <c r="F170" s="39"/>
      <c r="G170" s="39"/>
      <c r="H170" s="39"/>
      <c r="I170" s="39"/>
      <c r="K170" s="38" t="str">
        <f>IF(D170&lt;&gt;"",COUNTIFS('Données clés'!B:B,'Tableau de bord'!D170),"")</f>
        <v/>
      </c>
    </row>
    <row r="171" spans="2:11" ht="28.5" x14ac:dyDescent="0.3">
      <c r="B171" s="62"/>
      <c r="C171" s="62"/>
      <c r="E171" s="39"/>
      <c r="F171" s="39"/>
      <c r="G171" s="39"/>
      <c r="H171" s="39"/>
      <c r="I171" s="39"/>
      <c r="K171" s="38" t="str">
        <f>IF(D171&lt;&gt;"",COUNTIFS('Données clés'!B:B,'Tableau de bord'!D171),"")</f>
        <v/>
      </c>
    </row>
    <row r="172" spans="2:11" ht="28.5" x14ac:dyDescent="0.3">
      <c r="B172" s="62"/>
      <c r="C172" s="62"/>
      <c r="E172" s="39"/>
      <c r="F172" s="39"/>
      <c r="G172" s="39"/>
      <c r="H172" s="39"/>
      <c r="I172" s="39"/>
      <c r="K172" s="38" t="str">
        <f>IF(D172&lt;&gt;"",COUNTIFS('Données clés'!B:B,'Tableau de bord'!D172),"")</f>
        <v/>
      </c>
    </row>
    <row r="173" spans="2:11" ht="28.5" x14ac:dyDescent="0.3">
      <c r="B173" s="62"/>
      <c r="C173" s="62"/>
      <c r="E173" s="39"/>
      <c r="F173" s="39"/>
      <c r="G173" s="39"/>
      <c r="H173" s="39"/>
      <c r="I173" s="39"/>
      <c r="K173" s="38" t="str">
        <f>IF(D173&lt;&gt;"",COUNTIFS('Données clés'!B:B,'Tableau de bord'!D173),"")</f>
        <v/>
      </c>
    </row>
    <row r="174" spans="2:11" ht="28.5" x14ac:dyDescent="0.3">
      <c r="B174" s="62"/>
      <c r="C174" s="62"/>
      <c r="E174" s="39"/>
      <c r="F174" s="39"/>
      <c r="G174" s="39"/>
      <c r="H174" s="39"/>
      <c r="I174" s="39"/>
    </row>
    <row r="175" spans="2:11" ht="28.5" x14ac:dyDescent="0.3">
      <c r="B175" s="62"/>
      <c r="C175" s="62"/>
      <c r="E175" s="39"/>
      <c r="F175" s="39"/>
      <c r="G175" s="39"/>
      <c r="H175" s="39"/>
      <c r="I175" s="39"/>
    </row>
    <row r="176" spans="2:11" ht="28.5" x14ac:dyDescent="0.3">
      <c r="B176" s="62"/>
      <c r="C176" s="62"/>
      <c r="E176" s="39"/>
      <c r="F176" s="39"/>
      <c r="G176" s="39"/>
      <c r="H176" s="39"/>
      <c r="I176" s="39"/>
    </row>
    <row r="177" spans="2:9" ht="28.5" x14ac:dyDescent="0.3">
      <c r="B177" s="62"/>
      <c r="C177" s="62"/>
      <c r="E177" s="39"/>
      <c r="F177" s="39"/>
      <c r="G177" s="39"/>
      <c r="H177" s="39"/>
      <c r="I177" s="39"/>
    </row>
    <row r="178" spans="2:9" x14ac:dyDescent="0.3">
      <c r="B178" s="62"/>
      <c r="C178" s="62"/>
    </row>
    <row r="179" spans="2:9" x14ac:dyDescent="0.3">
      <c r="B179" s="62"/>
      <c r="C179" s="62"/>
    </row>
    <row r="180" spans="2:9" x14ac:dyDescent="0.3">
      <c r="B180" s="62"/>
      <c r="C180" s="62"/>
    </row>
    <row r="181" spans="2:9" x14ac:dyDescent="0.3">
      <c r="B181" s="62"/>
      <c r="C181" s="62"/>
    </row>
    <row r="182" spans="2:9" x14ac:dyDescent="0.3">
      <c r="B182" s="62"/>
      <c r="C182" s="62"/>
    </row>
    <row r="183" spans="2:9" x14ac:dyDescent="0.3">
      <c r="B183" s="62"/>
      <c r="C183" s="62"/>
    </row>
    <row r="184" spans="2:9" x14ac:dyDescent="0.3">
      <c r="B184" s="62"/>
      <c r="C184" s="62"/>
    </row>
    <row r="185" spans="2:9" x14ac:dyDescent="0.3">
      <c r="B185" s="62"/>
      <c r="C185" s="62"/>
    </row>
    <row r="186" spans="2:9" x14ac:dyDescent="0.3">
      <c r="B186" s="62"/>
      <c r="C186" s="62"/>
    </row>
    <row r="187" spans="2:9" x14ac:dyDescent="0.3">
      <c r="B187" s="62"/>
      <c r="C187" s="62"/>
    </row>
    <row r="188" spans="2:9" x14ac:dyDescent="0.3">
      <c r="B188" s="62"/>
      <c r="C188" s="62"/>
    </row>
    <row r="189" spans="2:9" x14ac:dyDescent="0.3">
      <c r="B189" s="62"/>
      <c r="C189" s="62"/>
    </row>
    <row r="190" spans="2:9" x14ac:dyDescent="0.3">
      <c r="B190" s="62"/>
      <c r="C190" s="62"/>
    </row>
    <row r="191" spans="2:9" x14ac:dyDescent="0.3">
      <c r="B191" s="62"/>
      <c r="C191" s="62"/>
    </row>
    <row r="192" spans="2:9" x14ac:dyDescent="0.3">
      <c r="B192" s="62"/>
      <c r="C192" s="62"/>
    </row>
    <row r="193" spans="2:3" x14ac:dyDescent="0.3">
      <c r="B193" s="62"/>
      <c r="C193" s="62"/>
    </row>
    <row r="194" spans="2:3" x14ac:dyDescent="0.3">
      <c r="B194" s="62"/>
      <c r="C194" s="62"/>
    </row>
    <row r="195" spans="2:3" x14ac:dyDescent="0.3">
      <c r="B195" s="62"/>
      <c r="C195" s="62"/>
    </row>
    <row r="196" spans="2:3" x14ac:dyDescent="0.3">
      <c r="B196" s="62"/>
      <c r="C196" s="62"/>
    </row>
    <row r="197" spans="2:3" x14ac:dyDescent="0.3">
      <c r="B197" s="62"/>
      <c r="C197" s="62"/>
    </row>
    <row r="198" spans="2:3" x14ac:dyDescent="0.3">
      <c r="B198" s="62"/>
      <c r="C198" s="62"/>
    </row>
    <row r="199" spans="2:3" x14ac:dyDescent="0.3">
      <c r="B199" s="62"/>
      <c r="C199" s="62"/>
    </row>
    <row r="200" spans="2:3" x14ac:dyDescent="0.3">
      <c r="B200" s="62"/>
      <c r="C200" s="62"/>
    </row>
    <row r="201" spans="2:3" x14ac:dyDescent="0.3">
      <c r="B201" s="62"/>
      <c r="C201" s="62"/>
    </row>
    <row r="202" spans="2:3" x14ac:dyDescent="0.3">
      <c r="B202" s="62"/>
      <c r="C202" s="62"/>
    </row>
    <row r="203" spans="2:3" x14ac:dyDescent="0.3">
      <c r="B203" s="62"/>
      <c r="C203" s="62"/>
    </row>
    <row r="204" spans="2:3" x14ac:dyDescent="0.3">
      <c r="B204" s="62"/>
      <c r="C204" s="62"/>
    </row>
    <row r="205" spans="2:3" x14ac:dyDescent="0.3">
      <c r="B205" s="62"/>
      <c r="C205" s="62"/>
    </row>
    <row r="206" spans="2:3" x14ac:dyDescent="0.3">
      <c r="B206" s="62"/>
      <c r="C206" s="62"/>
    </row>
    <row r="207" spans="2:3" x14ac:dyDescent="0.3">
      <c r="B207" s="62"/>
      <c r="C207" s="62"/>
    </row>
    <row r="208" spans="2:3" x14ac:dyDescent="0.3">
      <c r="B208" s="62"/>
      <c r="C208" s="62"/>
    </row>
    <row r="209" spans="2:3" x14ac:dyDescent="0.3">
      <c r="B209" s="62"/>
      <c r="C209" s="62"/>
    </row>
    <row r="210" spans="2:3" x14ac:dyDescent="0.3">
      <c r="B210" s="62"/>
      <c r="C210" s="62"/>
    </row>
    <row r="211" spans="2:3" x14ac:dyDescent="0.3">
      <c r="B211" s="62"/>
      <c r="C211" s="62"/>
    </row>
    <row r="212" spans="2:3" x14ac:dyDescent="0.3">
      <c r="B212" s="62"/>
      <c r="C212" s="62"/>
    </row>
    <row r="213" spans="2:3" x14ac:dyDescent="0.3">
      <c r="B213" s="62"/>
      <c r="C213" s="62"/>
    </row>
    <row r="214" spans="2:3" x14ac:dyDescent="0.3">
      <c r="B214" s="62"/>
      <c r="C214" s="62"/>
    </row>
    <row r="215" spans="2:3" x14ac:dyDescent="0.3">
      <c r="B215" s="62"/>
      <c r="C215" s="62"/>
    </row>
    <row r="216" spans="2:3" x14ac:dyDescent="0.3">
      <c r="B216" s="62"/>
      <c r="C216" s="62"/>
    </row>
    <row r="217" spans="2:3" x14ac:dyDescent="0.3">
      <c r="B217" s="62"/>
      <c r="C217" s="62"/>
    </row>
    <row r="218" spans="2:3" x14ac:dyDescent="0.3">
      <c r="B218" s="62"/>
      <c r="C218" s="62"/>
    </row>
    <row r="219" spans="2:3" x14ac:dyDescent="0.3">
      <c r="B219" s="62"/>
      <c r="C219" s="62"/>
    </row>
    <row r="220" spans="2:3" x14ac:dyDescent="0.3">
      <c r="B220" s="62"/>
      <c r="C220" s="62"/>
    </row>
    <row r="221" spans="2:3" x14ac:dyDescent="0.3">
      <c r="B221" s="62"/>
      <c r="C221" s="62"/>
    </row>
    <row r="222" spans="2:3" x14ac:dyDescent="0.3">
      <c r="B222" s="62"/>
      <c r="C222" s="62"/>
    </row>
    <row r="223" spans="2:3" x14ac:dyDescent="0.3">
      <c r="B223" s="62"/>
      <c r="C223" s="62"/>
    </row>
    <row r="224" spans="2:3" x14ac:dyDescent="0.3">
      <c r="B224" s="62"/>
      <c r="C224" s="62"/>
    </row>
    <row r="225" spans="2:3" x14ac:dyDescent="0.3">
      <c r="B225" s="62"/>
      <c r="C225" s="62"/>
    </row>
    <row r="226" spans="2:3" x14ac:dyDescent="0.3">
      <c r="B226" s="62"/>
      <c r="C226" s="62"/>
    </row>
    <row r="227" spans="2:3" x14ac:dyDescent="0.3">
      <c r="B227" s="62"/>
      <c r="C227" s="62"/>
    </row>
    <row r="228" spans="2:3" x14ac:dyDescent="0.3">
      <c r="B228" s="62"/>
      <c r="C228" s="62"/>
    </row>
    <row r="229" spans="2:3" x14ac:dyDescent="0.3">
      <c r="B229" s="62"/>
      <c r="C229" s="62"/>
    </row>
    <row r="230" spans="2:3" x14ac:dyDescent="0.3">
      <c r="B230" s="62"/>
      <c r="C230" s="62"/>
    </row>
    <row r="231" spans="2:3" x14ac:dyDescent="0.3">
      <c r="B231" s="62"/>
      <c r="C231" s="62"/>
    </row>
    <row r="232" spans="2:3" x14ac:dyDescent="0.3">
      <c r="B232" s="62"/>
      <c r="C232" s="62"/>
    </row>
    <row r="233" spans="2:3" x14ac:dyDescent="0.3">
      <c r="B233" s="62"/>
      <c r="C233" s="62"/>
    </row>
    <row r="234" spans="2:3" x14ac:dyDescent="0.3">
      <c r="B234" s="62"/>
      <c r="C234" s="62"/>
    </row>
    <row r="235" spans="2:3" x14ac:dyDescent="0.3">
      <c r="B235" s="62"/>
      <c r="C235" s="62"/>
    </row>
    <row r="236" spans="2:3" x14ac:dyDescent="0.3">
      <c r="B236" s="62"/>
      <c r="C236" s="62"/>
    </row>
    <row r="237" spans="2:3" x14ac:dyDescent="0.3">
      <c r="B237" s="62"/>
      <c r="C237" s="62"/>
    </row>
    <row r="238" spans="2:3" x14ac:dyDescent="0.3">
      <c r="B238" s="62"/>
      <c r="C238" s="62"/>
    </row>
    <row r="239" spans="2:3" x14ac:dyDescent="0.3">
      <c r="B239" s="62"/>
      <c r="C239" s="62"/>
    </row>
    <row r="240" spans="2:3" x14ac:dyDescent="0.3">
      <c r="B240" s="62"/>
      <c r="C240" s="62"/>
    </row>
    <row r="241" spans="2:3" x14ac:dyDescent="0.3">
      <c r="B241" s="62"/>
      <c r="C241" s="62"/>
    </row>
    <row r="242" spans="2:3" x14ac:dyDescent="0.3">
      <c r="B242" s="62"/>
      <c r="C242" s="62"/>
    </row>
    <row r="243" spans="2:3" x14ac:dyDescent="0.3">
      <c r="B243" s="62"/>
      <c r="C243" s="62"/>
    </row>
    <row r="244" spans="2:3" x14ac:dyDescent="0.3">
      <c r="B244" s="62"/>
      <c r="C244" s="62"/>
    </row>
    <row r="245" spans="2:3" x14ac:dyDescent="0.3">
      <c r="B245" s="62"/>
      <c r="C245" s="62"/>
    </row>
    <row r="246" spans="2:3" x14ac:dyDescent="0.3">
      <c r="B246" s="62"/>
      <c r="C246" s="62"/>
    </row>
    <row r="247" spans="2:3" x14ac:dyDescent="0.3">
      <c r="B247" s="62"/>
      <c r="C247" s="62"/>
    </row>
    <row r="248" spans="2:3" x14ac:dyDescent="0.3">
      <c r="B248" s="62"/>
      <c r="C248" s="62"/>
    </row>
    <row r="249" spans="2:3" x14ac:dyDescent="0.3">
      <c r="B249" s="62"/>
      <c r="C249" s="62"/>
    </row>
    <row r="250" spans="2:3" x14ac:dyDescent="0.3">
      <c r="B250" s="62"/>
      <c r="C250" s="62"/>
    </row>
    <row r="251" spans="2:3" x14ac:dyDescent="0.3">
      <c r="B251" s="62"/>
      <c r="C251" s="62"/>
    </row>
    <row r="252" spans="2:3" x14ac:dyDescent="0.3">
      <c r="B252" s="62"/>
      <c r="C252" s="62"/>
    </row>
    <row r="253" spans="2:3" x14ac:dyDescent="0.3">
      <c r="B253" s="62"/>
      <c r="C253" s="62"/>
    </row>
    <row r="254" spans="2:3" x14ac:dyDescent="0.3">
      <c r="B254" s="62"/>
      <c r="C254" s="62"/>
    </row>
    <row r="255" spans="2:3" x14ac:dyDescent="0.3">
      <c r="B255" s="62"/>
      <c r="C255" s="62"/>
    </row>
    <row r="256" spans="2:3" x14ac:dyDescent="0.3">
      <c r="B256" s="62"/>
      <c r="C256" s="62"/>
    </row>
    <row r="257" spans="2:3" x14ac:dyDescent="0.3">
      <c r="B257" s="62"/>
      <c r="C257" s="62"/>
    </row>
    <row r="258" spans="2:3" x14ac:dyDescent="0.3">
      <c r="B258" s="62"/>
      <c r="C258" s="62"/>
    </row>
    <row r="259" spans="2:3" x14ac:dyDescent="0.3">
      <c r="B259" s="62"/>
      <c r="C259" s="62"/>
    </row>
    <row r="260" spans="2:3" x14ac:dyDescent="0.3">
      <c r="B260" s="62"/>
      <c r="C260" s="62"/>
    </row>
    <row r="261" spans="2:3" x14ac:dyDescent="0.3">
      <c r="B261" s="62"/>
      <c r="C261" s="62"/>
    </row>
    <row r="262" spans="2:3" x14ac:dyDescent="0.3">
      <c r="B262" s="62"/>
      <c r="C262" s="62"/>
    </row>
    <row r="263" spans="2:3" x14ac:dyDescent="0.3">
      <c r="B263" s="62"/>
      <c r="C263" s="62"/>
    </row>
    <row r="264" spans="2:3" x14ac:dyDescent="0.3">
      <c r="B264" s="62"/>
      <c r="C264" s="62"/>
    </row>
    <row r="265" spans="2:3" x14ac:dyDescent="0.3">
      <c r="B265" s="62"/>
      <c r="C265" s="62"/>
    </row>
    <row r="266" spans="2:3" x14ac:dyDescent="0.3">
      <c r="B266" s="62"/>
      <c r="C266" s="62"/>
    </row>
    <row r="267" spans="2:3" x14ac:dyDescent="0.3">
      <c r="B267" s="62"/>
      <c r="C267" s="62"/>
    </row>
    <row r="268" spans="2:3" x14ac:dyDescent="0.3">
      <c r="B268" s="62"/>
      <c r="C268" s="62"/>
    </row>
    <row r="269" spans="2:3" x14ac:dyDescent="0.3">
      <c r="B269" s="62"/>
      <c r="C269" s="62"/>
    </row>
    <row r="270" spans="2:3" x14ac:dyDescent="0.3">
      <c r="B270" s="62"/>
      <c r="C270" s="62"/>
    </row>
    <row r="271" spans="2:3" x14ac:dyDescent="0.3">
      <c r="B271" s="62"/>
      <c r="C271" s="62"/>
    </row>
    <row r="272" spans="2:3" x14ac:dyDescent="0.3">
      <c r="B272" s="62"/>
      <c r="C272" s="62"/>
    </row>
    <row r="273" spans="2:3" x14ac:dyDescent="0.3">
      <c r="B273" s="62"/>
      <c r="C273" s="62"/>
    </row>
    <row r="274" spans="2:3" x14ac:dyDescent="0.3">
      <c r="B274" s="62"/>
      <c r="C274" s="62"/>
    </row>
    <row r="275" spans="2:3" x14ac:dyDescent="0.3">
      <c r="B275" s="62"/>
      <c r="C275" s="62"/>
    </row>
    <row r="276" spans="2:3" x14ac:dyDescent="0.3">
      <c r="B276" s="62"/>
      <c r="C276" s="62"/>
    </row>
    <row r="277" spans="2:3" x14ac:dyDescent="0.3">
      <c r="B277" s="62"/>
      <c r="C277" s="62"/>
    </row>
    <row r="278" spans="2:3" x14ac:dyDescent="0.3">
      <c r="B278" s="62"/>
      <c r="C278" s="62"/>
    </row>
    <row r="279" spans="2:3" x14ac:dyDescent="0.3">
      <c r="B279" s="62"/>
      <c r="C279" s="62"/>
    </row>
    <row r="280" spans="2:3" x14ac:dyDescent="0.3">
      <c r="B280" s="62"/>
      <c r="C280" s="62"/>
    </row>
    <row r="281" spans="2:3" x14ac:dyDescent="0.3">
      <c r="B281" s="62"/>
      <c r="C281" s="62"/>
    </row>
    <row r="282" spans="2:3" x14ac:dyDescent="0.3">
      <c r="B282" s="62"/>
      <c r="C282" s="62"/>
    </row>
    <row r="283" spans="2:3" x14ac:dyDescent="0.3">
      <c r="B283" s="62"/>
      <c r="C283" s="62"/>
    </row>
    <row r="284" spans="2:3" x14ac:dyDescent="0.3">
      <c r="B284" s="62"/>
      <c r="C284" s="62"/>
    </row>
    <row r="285" spans="2:3" x14ac:dyDescent="0.3">
      <c r="B285" s="62"/>
      <c r="C285" s="62"/>
    </row>
    <row r="286" spans="2:3" x14ac:dyDescent="0.3">
      <c r="B286" s="62"/>
      <c r="C286" s="62"/>
    </row>
    <row r="287" spans="2:3" x14ac:dyDescent="0.3">
      <c r="B287" s="62"/>
      <c r="C287" s="62"/>
    </row>
    <row r="288" spans="2:3" x14ac:dyDescent="0.3">
      <c r="B288" s="62"/>
      <c r="C288" s="62"/>
    </row>
    <row r="289" spans="2:3" x14ac:dyDescent="0.3">
      <c r="B289" s="62"/>
      <c r="C289" s="62"/>
    </row>
    <row r="290" spans="2:3" x14ac:dyDescent="0.3">
      <c r="B290" s="62"/>
      <c r="C290" s="62"/>
    </row>
    <row r="291" spans="2:3" x14ac:dyDescent="0.3">
      <c r="B291" s="62"/>
      <c r="C291" s="62"/>
    </row>
    <row r="292" spans="2:3" x14ac:dyDescent="0.3">
      <c r="B292" s="62"/>
      <c r="C292" s="62"/>
    </row>
    <row r="293" spans="2:3" x14ac:dyDescent="0.3">
      <c r="B293" s="62"/>
      <c r="C293" s="62"/>
    </row>
    <row r="294" spans="2:3" x14ac:dyDescent="0.3">
      <c r="B294" s="62"/>
      <c r="C294" s="62"/>
    </row>
    <row r="295" spans="2:3" x14ac:dyDescent="0.3">
      <c r="B295" s="62"/>
      <c r="C295" s="62"/>
    </row>
    <row r="296" spans="2:3" x14ac:dyDescent="0.3">
      <c r="B296" s="62"/>
      <c r="C296" s="62"/>
    </row>
    <row r="297" spans="2:3" x14ac:dyDescent="0.3">
      <c r="B297" s="62"/>
      <c r="C297" s="62"/>
    </row>
    <row r="298" spans="2:3" x14ac:dyDescent="0.3">
      <c r="B298" s="62"/>
      <c r="C298" s="62"/>
    </row>
    <row r="299" spans="2:3" x14ac:dyDescent="0.3">
      <c r="B299" s="62"/>
      <c r="C299" s="62"/>
    </row>
    <row r="300" spans="2:3" x14ac:dyDescent="0.3">
      <c r="B300" s="62"/>
      <c r="C300" s="62"/>
    </row>
    <row r="301" spans="2:3" x14ac:dyDescent="0.3">
      <c r="B301" s="62"/>
      <c r="C301" s="62"/>
    </row>
    <row r="302" spans="2:3" x14ac:dyDescent="0.3">
      <c r="B302" s="62"/>
      <c r="C302" s="62"/>
    </row>
    <row r="303" spans="2:3" x14ac:dyDescent="0.3">
      <c r="B303" s="62"/>
      <c r="C303" s="62"/>
    </row>
    <row r="304" spans="2:3" x14ac:dyDescent="0.3">
      <c r="B304" s="62"/>
      <c r="C304" s="62"/>
    </row>
    <row r="305" spans="2:3" x14ac:dyDescent="0.3">
      <c r="B305" s="62"/>
      <c r="C305" s="62"/>
    </row>
    <row r="306" spans="2:3" x14ac:dyDescent="0.3">
      <c r="B306" s="62"/>
      <c r="C306" s="62"/>
    </row>
    <row r="307" spans="2:3" x14ac:dyDescent="0.3">
      <c r="B307" s="62"/>
      <c r="C307" s="62"/>
    </row>
    <row r="308" spans="2:3" x14ac:dyDescent="0.3">
      <c r="B308" s="62"/>
      <c r="C308" s="62"/>
    </row>
    <row r="309" spans="2:3" x14ac:dyDescent="0.3">
      <c r="B309" s="62"/>
      <c r="C309" s="62"/>
    </row>
    <row r="310" spans="2:3" x14ac:dyDescent="0.3">
      <c r="B310" s="62"/>
      <c r="C310" s="62"/>
    </row>
    <row r="311" spans="2:3" x14ac:dyDescent="0.3">
      <c r="B311" s="62"/>
      <c r="C311" s="62"/>
    </row>
    <row r="312" spans="2:3" x14ac:dyDescent="0.3">
      <c r="B312" s="62"/>
      <c r="C312" s="62"/>
    </row>
    <row r="313" spans="2:3" x14ac:dyDescent="0.3">
      <c r="B313" s="62"/>
      <c r="C313" s="62"/>
    </row>
    <row r="314" spans="2:3" x14ac:dyDescent="0.3">
      <c r="B314" s="62"/>
      <c r="C314" s="62"/>
    </row>
    <row r="315" spans="2:3" x14ac:dyDescent="0.3">
      <c r="B315" s="62"/>
      <c r="C315" s="62"/>
    </row>
    <row r="316" spans="2:3" x14ac:dyDescent="0.3">
      <c r="B316" s="62"/>
      <c r="C316" s="62"/>
    </row>
    <row r="317" spans="2:3" x14ac:dyDescent="0.3">
      <c r="B317" s="62"/>
      <c r="C317" s="62"/>
    </row>
    <row r="318" spans="2:3" x14ac:dyDescent="0.3">
      <c r="B318" s="62"/>
      <c r="C318" s="62"/>
    </row>
    <row r="319" spans="2:3" x14ac:dyDescent="0.3">
      <c r="B319" s="62"/>
      <c r="C319" s="62"/>
    </row>
    <row r="320" spans="2:3" x14ac:dyDescent="0.3">
      <c r="B320" s="62"/>
      <c r="C320" s="62"/>
    </row>
    <row r="321" spans="2:3" x14ac:dyDescent="0.3">
      <c r="B321" s="62"/>
      <c r="C321" s="62"/>
    </row>
    <row r="322" spans="2:3" x14ac:dyDescent="0.3">
      <c r="B322" s="62"/>
      <c r="C322" s="62"/>
    </row>
    <row r="323" spans="2:3" x14ac:dyDescent="0.3">
      <c r="B323" s="62"/>
      <c r="C323" s="62"/>
    </row>
    <row r="324" spans="2:3" x14ac:dyDescent="0.3">
      <c r="B324" s="62"/>
      <c r="C324" s="62"/>
    </row>
    <row r="325" spans="2:3" x14ac:dyDescent="0.3">
      <c r="B325" s="62"/>
      <c r="C325" s="62"/>
    </row>
    <row r="326" spans="2:3" x14ac:dyDescent="0.3">
      <c r="B326" s="62"/>
      <c r="C326" s="62"/>
    </row>
    <row r="327" spans="2:3" x14ac:dyDescent="0.3">
      <c r="B327" s="62"/>
      <c r="C327" s="62"/>
    </row>
    <row r="328" spans="2:3" x14ac:dyDescent="0.3">
      <c r="B328" s="62"/>
      <c r="C328" s="62"/>
    </row>
    <row r="329" spans="2:3" x14ac:dyDescent="0.3">
      <c r="B329" s="62"/>
      <c r="C329" s="62"/>
    </row>
    <row r="330" spans="2:3" x14ac:dyDescent="0.3">
      <c r="B330" s="62"/>
      <c r="C330" s="62"/>
    </row>
    <row r="331" spans="2:3" x14ac:dyDescent="0.3">
      <c r="B331" s="62"/>
      <c r="C331" s="62"/>
    </row>
    <row r="332" spans="2:3" x14ac:dyDescent="0.3">
      <c r="B332" s="62"/>
      <c r="C332" s="62"/>
    </row>
    <row r="333" spans="2:3" x14ac:dyDescent="0.3">
      <c r="B333" s="62"/>
      <c r="C333" s="62"/>
    </row>
    <row r="334" spans="2:3" x14ac:dyDescent="0.3">
      <c r="B334" s="62"/>
      <c r="C334" s="62"/>
    </row>
    <row r="335" spans="2:3" x14ac:dyDescent="0.3">
      <c r="B335" s="62"/>
      <c r="C335" s="62"/>
    </row>
    <row r="336" spans="2:3" x14ac:dyDescent="0.3">
      <c r="B336" s="62"/>
      <c r="C336" s="62"/>
    </row>
    <row r="337" spans="2:3" x14ac:dyDescent="0.3">
      <c r="B337" s="62"/>
      <c r="C337" s="62"/>
    </row>
    <row r="338" spans="2:3" x14ac:dyDescent="0.3">
      <c r="B338" s="62"/>
      <c r="C338" s="62"/>
    </row>
    <row r="339" spans="2:3" x14ac:dyDescent="0.3">
      <c r="B339" s="62"/>
      <c r="C339" s="62"/>
    </row>
    <row r="340" spans="2:3" x14ac:dyDescent="0.3">
      <c r="B340" s="62"/>
      <c r="C340" s="62"/>
    </row>
    <row r="341" spans="2:3" x14ac:dyDescent="0.3">
      <c r="B341" s="62"/>
      <c r="C341" s="62"/>
    </row>
    <row r="342" spans="2:3" x14ac:dyDescent="0.3">
      <c r="B342" s="62"/>
      <c r="C342" s="62"/>
    </row>
    <row r="343" spans="2:3" x14ac:dyDescent="0.3">
      <c r="B343" s="62"/>
      <c r="C343" s="62"/>
    </row>
    <row r="344" spans="2:3" x14ac:dyDescent="0.3">
      <c r="B344" s="62"/>
      <c r="C344" s="62"/>
    </row>
    <row r="345" spans="2:3" x14ac:dyDescent="0.3">
      <c r="B345" s="62"/>
      <c r="C345" s="62"/>
    </row>
    <row r="346" spans="2:3" x14ac:dyDescent="0.3">
      <c r="B346" s="62"/>
      <c r="C346" s="62"/>
    </row>
    <row r="347" spans="2:3" x14ac:dyDescent="0.3">
      <c r="B347" s="62"/>
      <c r="C347" s="62"/>
    </row>
    <row r="348" spans="2:3" x14ac:dyDescent="0.3">
      <c r="B348" s="62"/>
      <c r="C348" s="62"/>
    </row>
    <row r="349" spans="2:3" x14ac:dyDescent="0.3">
      <c r="B349" s="62"/>
      <c r="C349" s="62"/>
    </row>
    <row r="350" spans="2:3" x14ac:dyDescent="0.3">
      <c r="B350" s="62"/>
      <c r="C350" s="62"/>
    </row>
    <row r="351" spans="2:3" x14ac:dyDescent="0.3">
      <c r="B351" s="62"/>
      <c r="C351" s="62"/>
    </row>
    <row r="352" spans="2:3" x14ac:dyDescent="0.3">
      <c r="B352" s="62"/>
      <c r="C352" s="62"/>
    </row>
    <row r="353" spans="2:3" x14ac:dyDescent="0.3">
      <c r="B353" s="62"/>
      <c r="C353" s="62"/>
    </row>
    <row r="354" spans="2:3" x14ac:dyDescent="0.3">
      <c r="B354" s="62"/>
      <c r="C354" s="62"/>
    </row>
    <row r="355" spans="2:3" x14ac:dyDescent="0.3">
      <c r="B355" s="62"/>
      <c r="C355" s="62"/>
    </row>
    <row r="356" spans="2:3" x14ac:dyDescent="0.3">
      <c r="B356" s="62"/>
      <c r="C356" s="62"/>
    </row>
    <row r="357" spans="2:3" x14ac:dyDescent="0.3">
      <c r="B357" s="62"/>
      <c r="C357" s="62"/>
    </row>
    <row r="358" spans="2:3" x14ac:dyDescent="0.3">
      <c r="B358" s="62"/>
      <c r="C358" s="62"/>
    </row>
    <row r="359" spans="2:3" x14ac:dyDescent="0.3">
      <c r="B359" s="62"/>
      <c r="C359" s="62"/>
    </row>
    <row r="360" spans="2:3" x14ac:dyDescent="0.3">
      <c r="B360" s="62"/>
      <c r="C360" s="62"/>
    </row>
    <row r="361" spans="2:3" x14ac:dyDescent="0.3">
      <c r="B361" s="62"/>
      <c r="C361" s="62"/>
    </row>
  </sheetData>
  <mergeCells count="3">
    <mergeCell ref="B6:D6"/>
    <mergeCell ref="H8:I8"/>
    <mergeCell ref="B4:D4"/>
  </mergeCells>
  <conditionalFormatting sqref="F1:F1048576">
    <cfRule type="expression" dxfId="3" priority="2">
      <formula>$F1&lt;$M1</formula>
    </cfRule>
  </conditionalFormatting>
  <conditionalFormatting sqref="F11:F133">
    <cfRule type="expression" dxfId="2" priority="1">
      <formula>$F11&gt;=$M11</formula>
    </cfRule>
  </conditionalFormatting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98F9-CC95-45A9-81FD-F70B67731128}">
  <sheetPr>
    <tabColor theme="5" tint="-0.249977111117893"/>
  </sheetPr>
  <dimension ref="A1:P46"/>
  <sheetViews>
    <sheetView zoomScale="70" zoomScaleNormal="70" workbookViewId="0">
      <pane ySplit="6" topLeftCell="A7" activePane="bottomLeft" state="frozen"/>
      <selection pane="bottomLeft" activeCell="J9" sqref="J9:M9"/>
    </sheetView>
  </sheetViews>
  <sheetFormatPr baseColWidth="10" defaultRowHeight="13" x14ac:dyDescent="0.3"/>
  <cols>
    <col min="1" max="1" width="5" customWidth="1"/>
    <col min="2" max="2" width="36.69921875" style="6" customWidth="1"/>
    <col min="3" max="3" width="33.796875" style="6" customWidth="1"/>
    <col min="4" max="4" width="20.19921875" style="6" customWidth="1"/>
    <col min="5" max="5" width="19.296875" bestFit="1" customWidth="1"/>
    <col min="6" max="9" width="14.8984375" style="23" customWidth="1"/>
    <col min="10" max="10" width="11.19921875" style="6"/>
    <col min="14" max="14" width="56.09765625" customWidth="1"/>
    <col min="15" max="15" width="12.5" customWidth="1"/>
    <col min="16" max="16" width="11.19921875" style="13"/>
  </cols>
  <sheetData>
    <row r="1" spans="1:16" s="2" customFormat="1" ht="48" customHeight="1" x14ac:dyDescent="0.3">
      <c r="F1" s="22"/>
      <c r="G1" s="22"/>
      <c r="H1" s="22"/>
      <c r="I1" s="22"/>
      <c r="P1" s="33"/>
    </row>
    <row r="2" spans="1:16" s="20" customFormat="1" x14ac:dyDescent="0.3">
      <c r="F2" s="21"/>
      <c r="G2" s="21"/>
      <c r="H2" s="21"/>
      <c r="I2" s="21"/>
      <c r="P2" s="34"/>
    </row>
    <row r="3" spans="1:16" s="20" customFormat="1" ht="87" customHeight="1" x14ac:dyDescent="0.3">
      <c r="B3" s="81" t="s">
        <v>39</v>
      </c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70"/>
      <c r="O3" s="70"/>
      <c r="P3" s="34"/>
    </row>
    <row r="4" spans="1:16" s="20" customFormat="1" ht="23" customHeight="1" thickBot="1" x14ac:dyDescent="0.35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P4" s="34"/>
    </row>
    <row r="5" spans="1:16" ht="31.5" customHeight="1" thickTop="1" thickBot="1" x14ac:dyDescent="0.35">
      <c r="B5" s="85" t="s">
        <v>30</v>
      </c>
      <c r="C5" s="86"/>
      <c r="D5" s="87"/>
      <c r="E5" s="42"/>
      <c r="F5" s="82" t="s">
        <v>31</v>
      </c>
      <c r="G5" s="83"/>
      <c r="H5" s="83"/>
      <c r="I5" s="84"/>
      <c r="J5" s="82" t="s">
        <v>36</v>
      </c>
      <c r="K5" s="83"/>
      <c r="L5" s="83"/>
      <c r="M5" s="84"/>
    </row>
    <row r="6" spans="1:16" ht="51" customHeight="1" thickTop="1" thickBot="1" x14ac:dyDescent="0.35">
      <c r="A6" s="31"/>
      <c r="B6" s="44" t="s">
        <v>32</v>
      </c>
      <c r="C6" s="8" t="s">
        <v>14</v>
      </c>
      <c r="D6" s="25" t="s">
        <v>15</v>
      </c>
      <c r="E6" s="41" t="s">
        <v>29</v>
      </c>
      <c r="F6" s="12" t="s">
        <v>25</v>
      </c>
      <c r="G6" s="12" t="s">
        <v>26</v>
      </c>
      <c r="H6" s="12" t="s">
        <v>27</v>
      </c>
      <c r="I6" s="26" t="s">
        <v>28</v>
      </c>
      <c r="J6" s="12" t="s">
        <v>38</v>
      </c>
      <c r="K6" s="12" t="s">
        <v>24</v>
      </c>
      <c r="L6" s="12" t="s">
        <v>22</v>
      </c>
      <c r="M6" s="26" t="s">
        <v>23</v>
      </c>
      <c r="N6" s="46" t="s">
        <v>0</v>
      </c>
      <c r="O6" s="8" t="s">
        <v>37</v>
      </c>
      <c r="P6" s="12" t="s">
        <v>19</v>
      </c>
    </row>
    <row r="7" spans="1:16" s="27" customFormat="1" ht="21" customHeight="1" x14ac:dyDescent="0.3">
      <c r="A7" s="45"/>
      <c r="B7" s="47" t="s">
        <v>40</v>
      </c>
      <c r="C7" s="48" t="s">
        <v>40</v>
      </c>
      <c r="D7" s="49" t="s">
        <v>40</v>
      </c>
      <c r="E7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7" s="50"/>
      <c r="G7" s="50"/>
      <c r="H7" s="50"/>
      <c r="I7" s="73"/>
      <c r="J7" s="51">
        <v>0.25</v>
      </c>
      <c r="K7" s="51">
        <v>0.25</v>
      </c>
      <c r="L7" s="51">
        <v>0.25</v>
      </c>
      <c r="M7" s="52">
        <v>0.25</v>
      </c>
      <c r="N7" s="17"/>
      <c r="O7" s="74" t="e">
        <f>VLOOKUP(Tableau1[[#This Row],[1) information]],'Tableau de bord'!D:M,10,FALSE)</f>
        <v>#N/A</v>
      </c>
      <c r="P7" s="35" t="e">
        <f>IF(Tableau1[[#This Row],[4) Score]]&gt;=Tableau1[[#This Row],[objectif]],"oui","non")</f>
        <v>#N/A</v>
      </c>
    </row>
    <row r="8" spans="1:16" s="27" customFormat="1" ht="21" x14ac:dyDescent="0.3">
      <c r="A8" s="45"/>
      <c r="B8" s="47" t="s">
        <v>40</v>
      </c>
      <c r="C8" s="48" t="s">
        <v>40</v>
      </c>
      <c r="D8" s="49" t="s">
        <v>40</v>
      </c>
      <c r="E8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8" s="71"/>
      <c r="G8" s="50"/>
      <c r="H8" s="71"/>
      <c r="I8" s="56"/>
      <c r="J8" s="51">
        <v>0.25</v>
      </c>
      <c r="K8" s="51">
        <v>0.25</v>
      </c>
      <c r="L8" s="51">
        <v>0.25</v>
      </c>
      <c r="M8" s="57">
        <v>0.25</v>
      </c>
      <c r="N8" s="17"/>
      <c r="O8" s="74" t="e">
        <f>VLOOKUP(Tableau1[[#This Row],[1) information]],'Tableau de bord'!D:M,10,FALSE)</f>
        <v>#N/A</v>
      </c>
      <c r="P8" s="35" t="e">
        <f>IF(Tableau1[[#This Row],[4) Score]]&gt;=Tableau1[[#This Row],[objectif]],"oui","non")</f>
        <v>#N/A</v>
      </c>
    </row>
    <row r="9" spans="1:16" s="27" customFormat="1" ht="21" x14ac:dyDescent="0.3">
      <c r="A9" s="45"/>
      <c r="B9" s="53"/>
      <c r="C9" s="54"/>
      <c r="D9" s="55"/>
      <c r="E9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9" s="72"/>
      <c r="G9" s="50"/>
      <c r="H9" s="71"/>
      <c r="I9" s="56"/>
      <c r="J9" s="51"/>
      <c r="K9" s="51"/>
      <c r="L9" s="51"/>
      <c r="M9" s="57"/>
      <c r="N9" s="18"/>
      <c r="O9" s="75" t="e">
        <f>VLOOKUP(Tableau1[[#This Row],[1) information]],'Tableau de bord'!D:M,10,FALSE)</f>
        <v>#N/A</v>
      </c>
      <c r="P9" s="35" t="e">
        <f>IF(Tableau1[[#This Row],[4) Score]]&gt;=Tableau1[[#This Row],[objectif]],"oui","non")</f>
        <v>#N/A</v>
      </c>
    </row>
    <row r="10" spans="1:16" s="27" customFormat="1" ht="21" x14ac:dyDescent="0.3">
      <c r="A10" s="45"/>
      <c r="B10" s="47"/>
      <c r="C10" s="48"/>
      <c r="D10" s="49"/>
      <c r="E10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10" s="50"/>
      <c r="G10" s="50"/>
      <c r="H10" s="50"/>
      <c r="I10" s="56"/>
      <c r="J10" s="51"/>
      <c r="K10" s="51"/>
      <c r="L10" s="51"/>
      <c r="M10" s="57"/>
      <c r="N10" s="17"/>
      <c r="O10" s="74" t="e">
        <f>VLOOKUP(Tableau1[[#This Row],[1) information]],'Tableau de bord'!D:M,10,FALSE)</f>
        <v>#N/A</v>
      </c>
      <c r="P10" s="35" t="e">
        <f>IF(Tableau1[[#This Row],[4) Score]]&gt;=Tableau1[[#This Row],[objectif]],"oui","non")</f>
        <v>#N/A</v>
      </c>
    </row>
    <row r="11" spans="1:16" s="27" customFormat="1" ht="21" x14ac:dyDescent="0.3">
      <c r="A11" s="45"/>
      <c r="B11" s="53"/>
      <c r="C11" s="54"/>
      <c r="D11" s="55"/>
      <c r="E11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11" s="50"/>
      <c r="G11" s="50"/>
      <c r="H11" s="50"/>
      <c r="I11" s="56"/>
      <c r="J11" s="51"/>
      <c r="K11" s="51"/>
      <c r="L11" s="51"/>
      <c r="M11" s="57"/>
      <c r="N11" s="18"/>
      <c r="O11" s="75" t="e">
        <f>VLOOKUP(Tableau1[[#This Row],[1) information]],'Tableau de bord'!D:M,10,FALSE)</f>
        <v>#N/A</v>
      </c>
      <c r="P11" s="35" t="e">
        <f>IF(Tableau1[[#This Row],[4) Score]]&gt;=Tableau1[[#This Row],[objectif]],"oui","non")</f>
        <v>#N/A</v>
      </c>
    </row>
    <row r="12" spans="1:16" s="27" customFormat="1" ht="21" x14ac:dyDescent="0.3">
      <c r="A12" s="45"/>
      <c r="B12" s="47"/>
      <c r="C12" s="48"/>
      <c r="D12" s="49"/>
      <c r="E12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12" s="50"/>
      <c r="G12" s="50"/>
      <c r="H12" s="50"/>
      <c r="I12" s="56"/>
      <c r="J12" s="51"/>
      <c r="K12" s="51"/>
      <c r="L12" s="51"/>
      <c r="M12" s="57"/>
      <c r="N12" s="17"/>
      <c r="O12" s="74" t="e">
        <f>VLOOKUP(Tableau1[[#This Row],[1) information]],'Tableau de bord'!D:M,10,FALSE)</f>
        <v>#N/A</v>
      </c>
      <c r="P12" s="35" t="e">
        <f>IF(Tableau1[[#This Row],[4) Score]]&gt;=Tableau1[[#This Row],[objectif]],"oui","non")</f>
        <v>#N/A</v>
      </c>
    </row>
    <row r="13" spans="1:16" s="27" customFormat="1" ht="21" x14ac:dyDescent="0.3">
      <c r="A13" s="45"/>
      <c r="B13" s="53"/>
      <c r="C13" s="54"/>
      <c r="D13" s="55"/>
      <c r="E13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13" s="50"/>
      <c r="G13" s="50"/>
      <c r="H13" s="50"/>
      <c r="I13" s="56"/>
      <c r="J13" s="51"/>
      <c r="K13" s="51"/>
      <c r="L13" s="51"/>
      <c r="M13" s="57"/>
      <c r="N13" s="18"/>
      <c r="O13" s="75" t="e">
        <f>VLOOKUP(Tableau1[[#This Row],[1) information]],'Tableau de bord'!D:M,10,FALSE)</f>
        <v>#N/A</v>
      </c>
      <c r="P13" s="35" t="e">
        <f>IF(Tableau1[[#This Row],[4) Score]]&gt;=Tableau1[[#This Row],[objectif]],"oui","non")</f>
        <v>#N/A</v>
      </c>
    </row>
    <row r="14" spans="1:16" s="27" customFormat="1" ht="21" x14ac:dyDescent="0.3">
      <c r="A14" s="45"/>
      <c r="B14" s="47"/>
      <c r="C14" s="48"/>
      <c r="D14" s="49"/>
      <c r="E14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14" s="50"/>
      <c r="G14" s="50"/>
      <c r="H14" s="50"/>
      <c r="I14" s="56"/>
      <c r="J14" s="51"/>
      <c r="K14" s="51"/>
      <c r="L14" s="51"/>
      <c r="M14" s="57"/>
      <c r="N14" s="17"/>
      <c r="O14" s="74" t="e">
        <f>VLOOKUP(Tableau1[[#This Row],[1) information]],'Tableau de bord'!D:M,10,FALSE)</f>
        <v>#N/A</v>
      </c>
      <c r="P14" s="35" t="e">
        <f>IF(Tableau1[[#This Row],[4) Score]]&gt;=Tableau1[[#This Row],[objectif]],"oui","non")</f>
        <v>#N/A</v>
      </c>
    </row>
    <row r="15" spans="1:16" s="27" customFormat="1" ht="21" x14ac:dyDescent="0.3">
      <c r="A15" s="45"/>
      <c r="B15" s="53"/>
      <c r="C15" s="54"/>
      <c r="D15" s="55"/>
      <c r="E15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15" s="50"/>
      <c r="G15" s="50"/>
      <c r="H15" s="50"/>
      <c r="I15" s="56"/>
      <c r="J15" s="51"/>
      <c r="K15" s="51"/>
      <c r="L15" s="51"/>
      <c r="M15" s="57"/>
      <c r="N15" s="18"/>
      <c r="O15" s="75" t="e">
        <f>VLOOKUP(Tableau1[[#This Row],[1) information]],'Tableau de bord'!D:M,10,FALSE)</f>
        <v>#N/A</v>
      </c>
      <c r="P15" s="35" t="e">
        <f>IF(Tableau1[[#This Row],[4) Score]]&gt;=Tableau1[[#This Row],[objectif]],"oui","non")</f>
        <v>#N/A</v>
      </c>
    </row>
    <row r="16" spans="1:16" s="27" customFormat="1" ht="21" x14ac:dyDescent="0.3">
      <c r="A16" s="45"/>
      <c r="B16" s="47"/>
      <c r="C16" s="48"/>
      <c r="D16" s="49"/>
      <c r="E16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16" s="50"/>
      <c r="G16" s="50"/>
      <c r="H16" s="50"/>
      <c r="I16" s="56"/>
      <c r="J16" s="51"/>
      <c r="K16" s="51"/>
      <c r="L16" s="51"/>
      <c r="M16" s="57"/>
      <c r="N16" s="17"/>
      <c r="O16" s="74" t="e">
        <f>VLOOKUP(Tableau1[[#This Row],[1) information]],'Tableau de bord'!D:M,10,FALSE)</f>
        <v>#N/A</v>
      </c>
      <c r="P16" s="35" t="e">
        <f>IF(Tableau1[[#This Row],[4) Score]]&gt;=Tableau1[[#This Row],[objectif]],"oui","non")</f>
        <v>#N/A</v>
      </c>
    </row>
    <row r="17" spans="1:16" s="27" customFormat="1" ht="21" x14ac:dyDescent="0.3">
      <c r="A17" s="45"/>
      <c r="B17" s="53"/>
      <c r="C17" s="54"/>
      <c r="D17" s="55"/>
      <c r="E17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17" s="50"/>
      <c r="G17" s="50"/>
      <c r="H17" s="50"/>
      <c r="I17" s="56"/>
      <c r="J17" s="51"/>
      <c r="K17" s="51"/>
      <c r="L17" s="51"/>
      <c r="M17" s="57"/>
      <c r="N17" s="18"/>
      <c r="O17" s="75" t="e">
        <f>VLOOKUP(Tableau1[[#This Row],[1) information]],'Tableau de bord'!D:M,10,FALSE)</f>
        <v>#N/A</v>
      </c>
      <c r="P17" s="35" t="e">
        <f>IF(Tableau1[[#This Row],[4) Score]]&gt;=Tableau1[[#This Row],[objectif]],"oui","non")</f>
        <v>#N/A</v>
      </c>
    </row>
    <row r="18" spans="1:16" s="27" customFormat="1" ht="21" x14ac:dyDescent="0.3">
      <c r="A18" s="45"/>
      <c r="B18" s="47"/>
      <c r="C18" s="48"/>
      <c r="D18" s="49"/>
      <c r="E18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18" s="50"/>
      <c r="G18" s="50"/>
      <c r="H18" s="50"/>
      <c r="I18" s="56"/>
      <c r="J18" s="51"/>
      <c r="K18" s="51"/>
      <c r="L18" s="51"/>
      <c r="M18" s="57"/>
      <c r="N18" s="17"/>
      <c r="O18" s="74" t="e">
        <f>VLOOKUP(Tableau1[[#This Row],[1) information]],'Tableau de bord'!D:M,10,FALSE)</f>
        <v>#N/A</v>
      </c>
      <c r="P18" s="35" t="e">
        <f>IF(Tableau1[[#This Row],[4) Score]]&gt;=Tableau1[[#This Row],[objectif]],"oui","non")</f>
        <v>#N/A</v>
      </c>
    </row>
    <row r="19" spans="1:16" s="27" customFormat="1" ht="21" x14ac:dyDescent="0.3">
      <c r="A19" s="45"/>
      <c r="B19" s="47"/>
      <c r="C19" s="48"/>
      <c r="D19" s="49"/>
      <c r="E19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19" s="50"/>
      <c r="G19" s="50"/>
      <c r="H19" s="50"/>
      <c r="I19" s="56"/>
      <c r="J19" s="51"/>
      <c r="K19" s="51"/>
      <c r="L19" s="51"/>
      <c r="M19" s="57"/>
      <c r="N19" s="17"/>
      <c r="O19" s="74" t="e">
        <f>VLOOKUP(Tableau1[[#This Row],[1) information]],'Tableau de bord'!D:M,10,FALSE)</f>
        <v>#N/A</v>
      </c>
      <c r="P19" s="35" t="e">
        <f>IF(Tableau1[[#This Row],[4) Score]]&gt;=Tableau1[[#This Row],[objectif]],"oui","non")</f>
        <v>#N/A</v>
      </c>
    </row>
    <row r="20" spans="1:16" s="27" customFormat="1" ht="21" x14ac:dyDescent="0.3">
      <c r="A20" s="45"/>
      <c r="B20" s="53"/>
      <c r="C20" s="54"/>
      <c r="D20" s="55"/>
      <c r="E20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20" s="50"/>
      <c r="G20" s="50"/>
      <c r="H20" s="50"/>
      <c r="I20" s="56"/>
      <c r="J20" s="51"/>
      <c r="K20" s="51"/>
      <c r="L20" s="51"/>
      <c r="M20" s="57"/>
      <c r="N20" s="18"/>
      <c r="O20" s="75" t="e">
        <f>VLOOKUP(Tableau1[[#This Row],[1) information]],'Tableau de bord'!D:M,10,FALSE)</f>
        <v>#N/A</v>
      </c>
      <c r="P20" s="35" t="e">
        <f>IF(Tableau1[[#This Row],[4) Score]]&gt;=Tableau1[[#This Row],[objectif]],"oui","non")</f>
        <v>#N/A</v>
      </c>
    </row>
    <row r="21" spans="1:16" s="27" customFormat="1" ht="21" x14ac:dyDescent="0.3">
      <c r="A21" s="45"/>
      <c r="B21" s="47"/>
      <c r="C21" s="48"/>
      <c r="D21" s="49"/>
      <c r="E21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21" s="50"/>
      <c r="G21" s="50"/>
      <c r="H21" s="50"/>
      <c r="I21" s="56"/>
      <c r="J21" s="51"/>
      <c r="K21" s="51"/>
      <c r="L21" s="51"/>
      <c r="M21" s="57"/>
      <c r="N21" s="17"/>
      <c r="O21" s="74" t="e">
        <f>VLOOKUP(Tableau1[[#This Row],[1) information]],'Tableau de bord'!D:M,10,FALSE)</f>
        <v>#N/A</v>
      </c>
      <c r="P21" s="35" t="e">
        <f>IF(Tableau1[[#This Row],[4) Score]]&gt;=Tableau1[[#This Row],[objectif]],"oui","non")</f>
        <v>#N/A</v>
      </c>
    </row>
    <row r="22" spans="1:16" s="27" customFormat="1" ht="21" x14ac:dyDescent="0.3">
      <c r="A22" s="45"/>
      <c r="B22" s="53"/>
      <c r="C22" s="54"/>
      <c r="D22" s="55"/>
      <c r="E22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22" s="50"/>
      <c r="G22" s="50"/>
      <c r="H22" s="50"/>
      <c r="I22" s="56"/>
      <c r="J22" s="51"/>
      <c r="K22" s="51"/>
      <c r="L22" s="51"/>
      <c r="M22" s="57"/>
      <c r="N22" s="18"/>
      <c r="O22" s="75" t="e">
        <f>VLOOKUP(Tableau1[[#This Row],[1) information]],'Tableau de bord'!D:M,10,FALSE)</f>
        <v>#N/A</v>
      </c>
      <c r="P22" s="35" t="e">
        <f>IF(Tableau1[[#This Row],[4) Score]]&gt;=Tableau1[[#This Row],[objectif]],"oui","non")</f>
        <v>#N/A</v>
      </c>
    </row>
    <row r="23" spans="1:16" s="27" customFormat="1" ht="21" x14ac:dyDescent="0.3">
      <c r="A23" s="45"/>
      <c r="B23" s="47"/>
      <c r="C23" s="48"/>
      <c r="D23" s="49"/>
      <c r="E23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23" s="50"/>
      <c r="G23" s="50"/>
      <c r="H23" s="50"/>
      <c r="I23" s="56"/>
      <c r="J23" s="51"/>
      <c r="K23" s="51"/>
      <c r="L23" s="51"/>
      <c r="M23" s="57"/>
      <c r="N23" s="17"/>
      <c r="O23" s="74" t="e">
        <f>VLOOKUP(Tableau1[[#This Row],[1) information]],'Tableau de bord'!D:M,10,FALSE)</f>
        <v>#N/A</v>
      </c>
      <c r="P23" s="35" t="e">
        <f>IF(Tableau1[[#This Row],[4) Score]]&gt;=Tableau1[[#This Row],[objectif]],"oui","non")</f>
        <v>#N/A</v>
      </c>
    </row>
    <row r="24" spans="1:16" s="27" customFormat="1" ht="21" x14ac:dyDescent="0.3">
      <c r="A24" s="45"/>
      <c r="B24" s="53"/>
      <c r="C24" s="54"/>
      <c r="D24" s="55"/>
      <c r="E24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24" s="50"/>
      <c r="G24" s="50"/>
      <c r="H24" s="50"/>
      <c r="I24" s="56"/>
      <c r="J24" s="51"/>
      <c r="K24" s="51"/>
      <c r="L24" s="51"/>
      <c r="M24" s="57"/>
      <c r="N24" s="18"/>
      <c r="O24" s="75" t="e">
        <f>VLOOKUP(Tableau1[[#This Row],[1) information]],'Tableau de bord'!D:M,10,FALSE)</f>
        <v>#N/A</v>
      </c>
      <c r="P24" s="35" t="e">
        <f>IF(Tableau1[[#This Row],[4) Score]]&gt;=Tableau1[[#This Row],[objectif]],"oui","non")</f>
        <v>#N/A</v>
      </c>
    </row>
    <row r="25" spans="1:16" s="27" customFormat="1" ht="21" x14ac:dyDescent="0.3">
      <c r="A25" s="45"/>
      <c r="B25" s="47"/>
      <c r="C25" s="48"/>
      <c r="D25" s="49"/>
      <c r="E25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25" s="50"/>
      <c r="G25" s="50"/>
      <c r="H25" s="50"/>
      <c r="I25" s="56"/>
      <c r="J25" s="51"/>
      <c r="K25" s="51"/>
      <c r="L25" s="51"/>
      <c r="M25" s="57"/>
      <c r="N25" s="17"/>
      <c r="O25" s="74" t="e">
        <f>VLOOKUP(Tableau1[[#This Row],[1) information]],'Tableau de bord'!D:M,10,FALSE)</f>
        <v>#N/A</v>
      </c>
      <c r="P25" s="35" t="e">
        <f>IF(Tableau1[[#This Row],[4) Score]]&gt;=Tableau1[[#This Row],[objectif]],"oui","non")</f>
        <v>#N/A</v>
      </c>
    </row>
    <row r="26" spans="1:16" s="27" customFormat="1" ht="21" x14ac:dyDescent="0.3">
      <c r="A26" s="45"/>
      <c r="B26" s="53"/>
      <c r="C26" s="54"/>
      <c r="D26" s="55"/>
      <c r="E26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26" s="50"/>
      <c r="G26" s="50"/>
      <c r="H26" s="50"/>
      <c r="I26" s="56"/>
      <c r="J26" s="51"/>
      <c r="K26" s="51"/>
      <c r="L26" s="51"/>
      <c r="M26" s="57"/>
      <c r="N26" s="18"/>
      <c r="O26" s="75" t="e">
        <f>VLOOKUP(Tableau1[[#This Row],[1) information]],'Tableau de bord'!D:M,10,FALSE)</f>
        <v>#N/A</v>
      </c>
      <c r="P26" s="35" t="e">
        <f>IF(Tableau1[[#This Row],[4) Score]]&gt;=Tableau1[[#This Row],[objectif]],"oui","non")</f>
        <v>#N/A</v>
      </c>
    </row>
    <row r="27" spans="1:16" s="27" customFormat="1" ht="21" x14ac:dyDescent="0.3">
      <c r="A27" s="45"/>
      <c r="B27" s="47"/>
      <c r="C27" s="48"/>
      <c r="D27" s="49"/>
      <c r="E27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27" s="50"/>
      <c r="G27" s="50"/>
      <c r="H27" s="50"/>
      <c r="I27" s="56"/>
      <c r="J27" s="51"/>
      <c r="K27" s="51"/>
      <c r="L27" s="51"/>
      <c r="M27" s="57"/>
      <c r="N27" s="17"/>
      <c r="O27" s="74" t="e">
        <f>VLOOKUP(Tableau1[[#This Row],[1) information]],'Tableau de bord'!D:M,10,FALSE)</f>
        <v>#N/A</v>
      </c>
      <c r="P27" s="35" t="e">
        <f>IF(Tableau1[[#This Row],[4) Score]]&gt;=Tableau1[[#This Row],[objectif]],"oui","non")</f>
        <v>#N/A</v>
      </c>
    </row>
    <row r="28" spans="1:16" s="27" customFormat="1" ht="21" x14ac:dyDescent="0.3">
      <c r="A28" s="45"/>
      <c r="B28" s="53"/>
      <c r="C28" s="54"/>
      <c r="D28" s="55"/>
      <c r="E28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28" s="50"/>
      <c r="G28" s="50"/>
      <c r="H28" s="50"/>
      <c r="I28" s="56"/>
      <c r="J28" s="51"/>
      <c r="K28" s="51"/>
      <c r="L28" s="51"/>
      <c r="M28" s="57"/>
      <c r="N28" s="18"/>
      <c r="O28" s="75" t="e">
        <f>VLOOKUP(Tableau1[[#This Row],[1) information]],'Tableau de bord'!D:M,10,FALSE)</f>
        <v>#N/A</v>
      </c>
      <c r="P28" s="35" t="e">
        <f>IF(Tableau1[[#This Row],[4) Score]]&gt;=Tableau1[[#This Row],[objectif]],"oui","non")</f>
        <v>#N/A</v>
      </c>
    </row>
    <row r="29" spans="1:16" s="27" customFormat="1" ht="21" x14ac:dyDescent="0.3">
      <c r="A29" s="45"/>
      <c r="B29" s="47"/>
      <c r="C29" s="48"/>
      <c r="D29" s="49"/>
      <c r="E29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29" s="50"/>
      <c r="G29" s="50"/>
      <c r="H29" s="50"/>
      <c r="I29" s="56"/>
      <c r="J29" s="51"/>
      <c r="K29" s="51"/>
      <c r="L29" s="51"/>
      <c r="M29" s="57"/>
      <c r="N29" s="17"/>
      <c r="O29" s="74" t="e">
        <f>VLOOKUP(Tableau1[[#This Row],[1) information]],'Tableau de bord'!D:M,10,FALSE)</f>
        <v>#N/A</v>
      </c>
      <c r="P29" s="35" t="e">
        <f>IF(Tableau1[[#This Row],[4) Score]]&gt;=Tableau1[[#This Row],[objectif]],"oui","non")</f>
        <v>#N/A</v>
      </c>
    </row>
    <row r="30" spans="1:16" s="27" customFormat="1" ht="21" x14ac:dyDescent="0.3">
      <c r="A30" s="45"/>
      <c r="B30" s="53"/>
      <c r="C30" s="54"/>
      <c r="D30" s="55"/>
      <c r="E30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30" s="50"/>
      <c r="G30" s="50"/>
      <c r="H30" s="50"/>
      <c r="I30" s="56"/>
      <c r="J30" s="51"/>
      <c r="K30" s="51"/>
      <c r="L30" s="51"/>
      <c r="M30" s="57"/>
      <c r="N30" s="18"/>
      <c r="O30" s="75" t="e">
        <f>VLOOKUP(Tableau1[[#This Row],[1) information]],'Tableau de bord'!D:M,10,FALSE)</f>
        <v>#N/A</v>
      </c>
      <c r="P30" s="35" t="e">
        <f>IF(Tableau1[[#This Row],[4) Score]]&gt;=Tableau1[[#This Row],[objectif]],"oui","non")</f>
        <v>#N/A</v>
      </c>
    </row>
    <row r="31" spans="1:16" s="27" customFormat="1" ht="21" x14ac:dyDescent="0.3">
      <c r="A31" s="45"/>
      <c r="B31" s="47"/>
      <c r="C31" s="48"/>
      <c r="D31" s="49"/>
      <c r="E31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31" s="50"/>
      <c r="G31" s="50"/>
      <c r="H31" s="50"/>
      <c r="I31" s="56"/>
      <c r="J31" s="51"/>
      <c r="K31" s="51"/>
      <c r="L31" s="51"/>
      <c r="M31" s="57"/>
      <c r="N31" s="17"/>
      <c r="O31" s="74" t="e">
        <f>VLOOKUP(Tableau1[[#This Row],[1) information]],'Tableau de bord'!D:M,10,FALSE)</f>
        <v>#N/A</v>
      </c>
      <c r="P31" s="35" t="e">
        <f>IF(Tableau1[[#This Row],[4) Score]]&gt;=Tableau1[[#This Row],[objectif]],"oui","non")</f>
        <v>#N/A</v>
      </c>
    </row>
    <row r="32" spans="1:16" s="27" customFormat="1" ht="21" x14ac:dyDescent="0.3">
      <c r="A32" s="45"/>
      <c r="B32" s="47"/>
      <c r="C32" s="48"/>
      <c r="D32" s="49"/>
      <c r="E32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32" s="50"/>
      <c r="G32" s="50"/>
      <c r="H32" s="50"/>
      <c r="I32" s="56"/>
      <c r="J32" s="51"/>
      <c r="K32" s="51"/>
      <c r="L32" s="51"/>
      <c r="M32" s="57"/>
      <c r="N32" s="17"/>
      <c r="O32" s="74" t="e">
        <f>VLOOKUP(Tableau1[[#This Row],[1) information]],'Tableau de bord'!D:M,10,FALSE)</f>
        <v>#N/A</v>
      </c>
      <c r="P32" s="35" t="e">
        <f>IF(Tableau1[[#This Row],[4) Score]]&gt;=Tableau1[[#This Row],[objectif]],"oui","non")</f>
        <v>#N/A</v>
      </c>
    </row>
    <row r="33" spans="1:16" s="27" customFormat="1" ht="21" x14ac:dyDescent="0.3">
      <c r="A33" s="45"/>
      <c r="B33" s="53"/>
      <c r="C33" s="54"/>
      <c r="D33" s="55"/>
      <c r="E33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33" s="50"/>
      <c r="G33" s="50"/>
      <c r="H33" s="50"/>
      <c r="I33" s="56"/>
      <c r="J33" s="51"/>
      <c r="K33" s="51"/>
      <c r="L33" s="51"/>
      <c r="M33" s="57"/>
      <c r="N33" s="18"/>
      <c r="O33" s="75" t="e">
        <f>VLOOKUP(Tableau1[[#This Row],[1) information]],'Tableau de bord'!D:M,10,FALSE)</f>
        <v>#N/A</v>
      </c>
      <c r="P33" s="35" t="e">
        <f>IF(Tableau1[[#This Row],[4) Score]]&gt;=Tableau1[[#This Row],[objectif]],"oui","non")</f>
        <v>#N/A</v>
      </c>
    </row>
    <row r="34" spans="1:16" s="27" customFormat="1" ht="21" x14ac:dyDescent="0.3">
      <c r="A34" s="45"/>
      <c r="B34" s="47"/>
      <c r="C34" s="48"/>
      <c r="D34" s="49"/>
      <c r="E34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34" s="50"/>
      <c r="G34" s="50"/>
      <c r="H34" s="50"/>
      <c r="I34" s="56"/>
      <c r="J34" s="51"/>
      <c r="K34" s="51"/>
      <c r="L34" s="51"/>
      <c r="M34" s="57"/>
      <c r="N34" s="17"/>
      <c r="O34" s="74" t="e">
        <f>VLOOKUP(Tableau1[[#This Row],[1) information]],'Tableau de bord'!D:M,10,FALSE)</f>
        <v>#N/A</v>
      </c>
      <c r="P34" s="35" t="e">
        <f>IF(Tableau1[[#This Row],[4) Score]]&gt;=Tableau1[[#This Row],[objectif]],"oui","non")</f>
        <v>#N/A</v>
      </c>
    </row>
    <row r="35" spans="1:16" s="27" customFormat="1" ht="21" x14ac:dyDescent="0.3">
      <c r="A35" s="45"/>
      <c r="B35" s="53"/>
      <c r="C35" s="54"/>
      <c r="D35" s="55"/>
      <c r="E35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35" s="50"/>
      <c r="G35" s="50"/>
      <c r="H35" s="50"/>
      <c r="I35" s="56"/>
      <c r="J35" s="51"/>
      <c r="K35" s="51"/>
      <c r="L35" s="51"/>
      <c r="M35" s="57"/>
      <c r="N35" s="18"/>
      <c r="O35" s="75" t="e">
        <f>VLOOKUP(Tableau1[[#This Row],[1) information]],'Tableau de bord'!D:M,10,FALSE)</f>
        <v>#N/A</v>
      </c>
      <c r="P35" s="35" t="e">
        <f>IF(Tableau1[[#This Row],[4) Score]]&gt;=Tableau1[[#This Row],[objectif]],"oui","non")</f>
        <v>#N/A</v>
      </c>
    </row>
    <row r="36" spans="1:16" s="27" customFormat="1" ht="21" x14ac:dyDescent="0.3">
      <c r="A36" s="45"/>
      <c r="B36" s="47"/>
      <c r="C36" s="48"/>
      <c r="D36" s="49"/>
      <c r="E36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36" s="50"/>
      <c r="G36" s="50"/>
      <c r="H36" s="50"/>
      <c r="I36" s="56"/>
      <c r="J36" s="51"/>
      <c r="K36" s="51"/>
      <c r="L36" s="51"/>
      <c r="M36" s="57"/>
      <c r="N36" s="17"/>
      <c r="O36" s="74" t="e">
        <f>VLOOKUP(Tableau1[[#This Row],[1) information]],'Tableau de bord'!D:M,10,FALSE)</f>
        <v>#N/A</v>
      </c>
      <c r="P36" s="35" t="e">
        <f>IF(Tableau1[[#This Row],[4) Score]]&gt;=Tableau1[[#This Row],[objectif]],"oui","non")</f>
        <v>#N/A</v>
      </c>
    </row>
    <row r="37" spans="1:16" s="27" customFormat="1" ht="21" x14ac:dyDescent="0.3">
      <c r="A37" s="45"/>
      <c r="B37" s="53"/>
      <c r="C37" s="54"/>
      <c r="D37" s="55"/>
      <c r="E37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37" s="50"/>
      <c r="G37" s="50"/>
      <c r="H37" s="50"/>
      <c r="I37" s="56"/>
      <c r="J37" s="51"/>
      <c r="K37" s="51"/>
      <c r="L37" s="51"/>
      <c r="M37" s="57"/>
      <c r="N37" s="18"/>
      <c r="O37" s="75" t="e">
        <f>VLOOKUP(Tableau1[[#This Row],[1) information]],'Tableau de bord'!D:M,10,FALSE)</f>
        <v>#N/A</v>
      </c>
      <c r="P37" s="35" t="e">
        <f>IF(Tableau1[[#This Row],[4) Score]]&gt;=Tableau1[[#This Row],[objectif]],"oui","non")</f>
        <v>#N/A</v>
      </c>
    </row>
    <row r="38" spans="1:16" s="27" customFormat="1" ht="21" x14ac:dyDescent="0.3">
      <c r="A38" s="45"/>
      <c r="B38" s="47"/>
      <c r="C38" s="48"/>
      <c r="D38" s="49"/>
      <c r="E38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38" s="50"/>
      <c r="G38" s="50"/>
      <c r="H38" s="50"/>
      <c r="I38" s="56"/>
      <c r="J38" s="51"/>
      <c r="K38" s="51"/>
      <c r="L38" s="51"/>
      <c r="M38" s="57"/>
      <c r="N38" s="17"/>
      <c r="O38" s="74" t="e">
        <f>VLOOKUP(Tableau1[[#This Row],[1) information]],'Tableau de bord'!D:M,10,FALSE)</f>
        <v>#N/A</v>
      </c>
      <c r="P38" s="35" t="e">
        <f>IF(Tableau1[[#This Row],[4) Score]]&gt;=Tableau1[[#This Row],[objectif]],"oui","non")</f>
        <v>#N/A</v>
      </c>
    </row>
    <row r="39" spans="1:16" s="27" customFormat="1" ht="21" x14ac:dyDescent="0.3">
      <c r="A39" s="45"/>
      <c r="B39" s="53"/>
      <c r="C39" s="54"/>
      <c r="D39" s="55"/>
      <c r="E39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39" s="50"/>
      <c r="G39" s="50"/>
      <c r="H39" s="50"/>
      <c r="I39" s="56"/>
      <c r="J39" s="51"/>
      <c r="K39" s="51"/>
      <c r="L39" s="51"/>
      <c r="M39" s="57"/>
      <c r="N39" s="18"/>
      <c r="O39" s="75" t="e">
        <f>VLOOKUP(Tableau1[[#This Row],[1) information]],'Tableau de bord'!D:M,10,FALSE)</f>
        <v>#N/A</v>
      </c>
      <c r="P39" s="35" t="e">
        <f>IF(Tableau1[[#This Row],[4) Score]]&gt;=Tableau1[[#This Row],[objectif]],"oui","non")</f>
        <v>#N/A</v>
      </c>
    </row>
    <row r="40" spans="1:16" s="27" customFormat="1" ht="21" x14ac:dyDescent="0.3">
      <c r="A40" s="45"/>
      <c r="B40" s="47"/>
      <c r="C40" s="48"/>
      <c r="D40" s="49"/>
      <c r="E40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40" s="50"/>
      <c r="G40" s="50"/>
      <c r="H40" s="50"/>
      <c r="I40" s="56"/>
      <c r="J40" s="51"/>
      <c r="K40" s="51"/>
      <c r="L40" s="51"/>
      <c r="M40" s="57"/>
      <c r="N40" s="17"/>
      <c r="O40" s="74" t="e">
        <f>VLOOKUP(Tableau1[[#This Row],[1) information]],'Tableau de bord'!D:M,10,FALSE)</f>
        <v>#N/A</v>
      </c>
      <c r="P40" s="35" t="e">
        <f>IF(Tableau1[[#This Row],[4) Score]]&gt;=Tableau1[[#This Row],[objectif]],"oui","non")</f>
        <v>#N/A</v>
      </c>
    </row>
    <row r="41" spans="1:16" s="27" customFormat="1" ht="21" x14ac:dyDescent="0.3">
      <c r="A41" s="45"/>
      <c r="B41" s="53"/>
      <c r="C41" s="54"/>
      <c r="D41" s="55"/>
      <c r="E41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41" s="50"/>
      <c r="G41" s="50"/>
      <c r="H41" s="50"/>
      <c r="I41" s="56"/>
      <c r="J41" s="51"/>
      <c r="K41" s="51"/>
      <c r="L41" s="51"/>
      <c r="M41" s="57"/>
      <c r="N41" s="18"/>
      <c r="O41" s="75" t="e">
        <f>VLOOKUP(Tableau1[[#This Row],[1) information]],'Tableau de bord'!D:M,10,FALSE)</f>
        <v>#N/A</v>
      </c>
      <c r="P41" s="35" t="e">
        <f>IF(Tableau1[[#This Row],[4) Score]]&gt;=Tableau1[[#This Row],[objectif]],"oui","non")</f>
        <v>#N/A</v>
      </c>
    </row>
    <row r="42" spans="1:16" s="27" customFormat="1" ht="21" x14ac:dyDescent="0.3">
      <c r="A42" s="45"/>
      <c r="B42" s="47"/>
      <c r="C42" s="48"/>
      <c r="D42" s="49"/>
      <c r="E42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42" s="50"/>
      <c r="G42" s="50"/>
      <c r="H42" s="50"/>
      <c r="I42" s="56"/>
      <c r="J42" s="51"/>
      <c r="K42" s="51"/>
      <c r="L42" s="51"/>
      <c r="M42" s="57"/>
      <c r="N42" s="17"/>
      <c r="O42" s="74" t="e">
        <f>VLOOKUP(Tableau1[[#This Row],[1) information]],'Tableau de bord'!D:M,10,FALSE)</f>
        <v>#N/A</v>
      </c>
      <c r="P42" s="35" t="e">
        <f>IF(Tableau1[[#This Row],[4) Score]]&gt;=Tableau1[[#This Row],[objectif]],"oui","non")</f>
        <v>#N/A</v>
      </c>
    </row>
    <row r="43" spans="1:16" s="27" customFormat="1" ht="21" x14ac:dyDescent="0.3">
      <c r="A43" s="45"/>
      <c r="B43" s="53"/>
      <c r="C43" s="54"/>
      <c r="D43" s="55"/>
      <c r="E43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43" s="50"/>
      <c r="G43" s="50"/>
      <c r="H43" s="50"/>
      <c r="I43" s="56"/>
      <c r="J43" s="51"/>
      <c r="K43" s="51"/>
      <c r="L43" s="51"/>
      <c r="M43" s="57"/>
      <c r="N43" s="18"/>
      <c r="O43" s="75" t="e">
        <f>VLOOKUP(Tableau1[[#This Row],[1) information]],'Tableau de bord'!D:M,10,FALSE)</f>
        <v>#N/A</v>
      </c>
      <c r="P43" s="35" t="e">
        <f>IF(Tableau1[[#This Row],[4) Score]]&gt;=Tableau1[[#This Row],[objectif]],"oui","non")</f>
        <v>#N/A</v>
      </c>
    </row>
    <row r="44" spans="1:16" s="27" customFormat="1" ht="21" x14ac:dyDescent="0.3">
      <c r="A44" s="45"/>
      <c r="B44" s="47"/>
      <c r="C44" s="48"/>
      <c r="D44" s="49"/>
      <c r="E44" s="32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44" s="50"/>
      <c r="G44" s="50"/>
      <c r="H44" s="50"/>
      <c r="I44" s="56"/>
      <c r="J44" s="51"/>
      <c r="K44" s="51"/>
      <c r="L44" s="51"/>
      <c r="M44" s="57"/>
      <c r="N44" s="17"/>
      <c r="O44" s="74" t="e">
        <f>VLOOKUP(Tableau1[[#This Row],[1) information]],'Tableau de bord'!D:M,10,FALSE)</f>
        <v>#N/A</v>
      </c>
      <c r="P44" s="35" t="e">
        <f>IF(Tableau1[[#This Row],[4) Score]]&gt;=Tableau1[[#This Row],[objectif]],"oui","non")</f>
        <v>#N/A</v>
      </c>
    </row>
    <row r="45" spans="1:16" s="27" customFormat="1" ht="21.5" thickBot="1" x14ac:dyDescent="0.35">
      <c r="A45" s="45"/>
      <c r="B45" s="58"/>
      <c r="C45" s="58"/>
      <c r="D45" s="59"/>
      <c r="E45" s="43" t="str">
        <f>IF(COUNTIFS(Tableau1[[#This Row],[3) Taux de non vides]:[3) Qualité des relations]],"&gt;0"),SUMPRODUCT(Tableau1[[#This Row],[3) Taux de non vides]:[3) Qualité des relations]],Tableau1[[#This Row],[2) Taux de non vides]:[2) Qualité des relations]]),"")</f>
        <v/>
      </c>
      <c r="F45" s="60"/>
      <c r="G45" s="60"/>
      <c r="H45" s="60"/>
      <c r="I45" s="61"/>
      <c r="J45" s="51"/>
      <c r="K45" s="51"/>
      <c r="L45" s="51"/>
      <c r="M45" s="57"/>
      <c r="N45" s="19"/>
      <c r="O45" s="76" t="e">
        <f>VLOOKUP(Tableau1[[#This Row],[1) information]],'Tableau de bord'!D:M,10,FALSE)</f>
        <v>#N/A</v>
      </c>
      <c r="P45" s="35" t="e">
        <f>IF(Tableau1[[#This Row],[4) Score]]&gt;=Tableau1[[#This Row],[objectif]],"oui","non")</f>
        <v>#N/A</v>
      </c>
    </row>
    <row r="46" spans="1:16" ht="13.5" thickTop="1" x14ac:dyDescent="0.3"/>
  </sheetData>
  <mergeCells count="4">
    <mergeCell ref="B3:M3"/>
    <mergeCell ref="F5:I5"/>
    <mergeCell ref="J5:M5"/>
    <mergeCell ref="B5:D5"/>
  </mergeCells>
  <conditionalFormatting sqref="F7:I45">
    <cfRule type="cellIs" dxfId="1" priority="2" operator="equal">
      <formula>"N/A"</formula>
    </cfRule>
  </conditionalFormatting>
  <conditionalFormatting sqref="E1:E1048576">
    <cfRule type="expression" dxfId="0" priority="1">
      <formula>$P1="non"</formula>
    </cfRule>
  </conditionalFormatting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3FE3D-F2F9-4427-B0D3-B6BA64C3EB68}">
  <sheetPr>
    <tabColor theme="1" tint="0.499984740745262"/>
  </sheetPr>
  <dimension ref="A1:B5"/>
  <sheetViews>
    <sheetView workbookViewId="0">
      <selection activeCell="C13" sqref="C13"/>
    </sheetView>
  </sheetViews>
  <sheetFormatPr baseColWidth="10" defaultRowHeight="13" x14ac:dyDescent="0.3"/>
  <cols>
    <col min="1" max="1" width="19" customWidth="1"/>
  </cols>
  <sheetData>
    <row r="1" spans="1:2" x14ac:dyDescent="0.3">
      <c r="A1" t="s">
        <v>2</v>
      </c>
    </row>
    <row r="3" spans="1:2" x14ac:dyDescent="0.3">
      <c r="A3" t="s">
        <v>3</v>
      </c>
      <c r="B3" t="s">
        <v>4</v>
      </c>
    </row>
    <row r="4" spans="1:2" x14ac:dyDescent="0.3">
      <c r="B4" t="s">
        <v>5</v>
      </c>
    </row>
    <row r="5" spans="1:2" x14ac:dyDescent="0.3">
      <c r="B5" t="s">
        <v>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D17A89AD-7C17-4D39-9F87-A4BF75A997C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Guide</vt:lpstr>
      <vt:lpstr>Tableau de bord</vt:lpstr>
      <vt:lpstr>Données clés</vt:lpstr>
      <vt:lpstr>Paramètres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Christelle Gaudron</dc:creator>
  <cp:keywords/>
  <cp:lastModifiedBy>Christelle Gaudron</cp:lastModifiedBy>
  <dcterms:created xsi:type="dcterms:W3CDTF">2018-01-27T14:21:35Z</dcterms:created>
  <dcterms:modified xsi:type="dcterms:W3CDTF">2018-02-13T17:20:58Z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TC031076549991</vt:lpwstr>
  </property>
</Properties>
</file>